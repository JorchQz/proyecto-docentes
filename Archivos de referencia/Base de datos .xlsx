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_Alumnos" sheetId="1" r:id="rId5"/>
    <sheet state="visible" name="Plantilla_Reporte" sheetId="2" r:id="rId6"/>
  </sheets>
  <definedNames/>
  <calcPr/>
</workbook>
</file>

<file path=xl/sharedStrings.xml><?xml version="1.0" encoding="utf-8"?>
<sst xmlns="http://schemas.openxmlformats.org/spreadsheetml/2006/main" count="443" uniqueCount="156">
  <si>
    <t>Alumno</t>
  </si>
  <si>
    <t>Grado</t>
  </si>
  <si>
    <t>LEN: Tareas</t>
  </si>
  <si>
    <t>LEN: Trabajos</t>
  </si>
  <si>
    <t>LEN: Asist.</t>
  </si>
  <si>
    <t>LEN: Part.</t>
  </si>
  <si>
    <t>LEN: Cond.</t>
  </si>
  <si>
    <t>LEN: Examen</t>
  </si>
  <si>
    <t>SAB: Tareas</t>
  </si>
  <si>
    <t>SAB: Trabajos</t>
  </si>
  <si>
    <t>SAB: Asist.</t>
  </si>
  <si>
    <t>SAB: Part.</t>
  </si>
  <si>
    <t>SAB: Cond.</t>
  </si>
  <si>
    <t>SAB: Examen</t>
  </si>
  <si>
    <t>ETI: Tareas</t>
  </si>
  <si>
    <t>ETI: Trabajos</t>
  </si>
  <si>
    <t>ETI: Asist.</t>
  </si>
  <si>
    <t>ETI: Part.</t>
  </si>
  <si>
    <t>ETI: Cond.</t>
  </si>
  <si>
    <t>ETI: Examen</t>
  </si>
  <si>
    <t>HUM: Tareas</t>
  </si>
  <si>
    <t>HUM: Trabajos</t>
  </si>
  <si>
    <t>HUM: Asist.</t>
  </si>
  <si>
    <t>HUM: Part.</t>
  </si>
  <si>
    <t>HUM: Cond.</t>
  </si>
  <si>
    <t>HUM: Examen</t>
  </si>
  <si>
    <t>Cuaderno: Orden/limpieza</t>
  </si>
  <si>
    <t>Cuaderno: Fecha</t>
  </si>
  <si>
    <t>Cuaderno: Título</t>
  </si>
  <si>
    <t>Cuaderno: Letra</t>
  </si>
  <si>
    <t>Cuaderno: Mayús/Minús</t>
  </si>
  <si>
    <t>Cuaderno: Signos</t>
  </si>
  <si>
    <t>Cuaderno: Acentuación</t>
  </si>
  <si>
    <t>Cuaderno: Buen estado</t>
  </si>
  <si>
    <t>Cuaderno: Orden proyecto</t>
  </si>
  <si>
    <t>Cuaderno: Margen</t>
  </si>
  <si>
    <t>Lectura: PPM</t>
  </si>
  <si>
    <t>Lectura: Comprensión</t>
  </si>
  <si>
    <t>Mates: Suma</t>
  </si>
  <si>
    <t>Mates: Resta</t>
  </si>
  <si>
    <t>Mates: Multiplicación</t>
  </si>
  <si>
    <t>Mates: División</t>
  </si>
  <si>
    <t>Mates: Fracciones</t>
  </si>
  <si>
    <t>Mates: Tablas</t>
  </si>
  <si>
    <t>Mates: Lectura y Escritura Cant</t>
  </si>
  <si>
    <t>Problemas matemáticos</t>
  </si>
  <si>
    <t>Trabajo Diario</t>
  </si>
  <si>
    <t>Fortalezas</t>
  </si>
  <si>
    <t>Áreas de Oportunidad</t>
  </si>
  <si>
    <t>VALOR MÁXIMO DEL TRIMESTRE ➡</t>
  </si>
  <si>
    <t>---</t>
  </si>
  <si>
    <t>MARCELA DE LA CRUZ CARRILLO</t>
  </si>
  <si>
    <t>4°</t>
  </si>
  <si>
    <t>En proceso</t>
  </si>
  <si>
    <t>Logrado</t>
  </si>
  <si>
    <t>Requiere apoyo</t>
  </si>
  <si>
    <t>Lee bien, puede mejorar</t>
  </si>
  <si>
    <t>No trae tareas y no termina trabajos en clase</t>
  </si>
  <si>
    <t>Creativa
Realiza bien las multiplicaciones. 
Tiene buena fluidez lectora</t>
  </si>
  <si>
    <t>Participar más. 
Se muestra distraida constantemente. 
Mostrar más disposición para trabajar. 
Mostrar más exigencia en sus trabajos. 
Entregar tareas, trabajps y productos finales. 
Asistir con regularidad a clases.</t>
  </si>
  <si>
    <t>MARCOS DE LA CRUZ CARRILLO</t>
  </si>
  <si>
    <t>RICARDO MUÑIZ PINEDO</t>
  </si>
  <si>
    <t>Necesario practicar en casa</t>
  </si>
  <si>
    <t>Tiene buen dominio en operaciones matematicas</t>
  </si>
  <si>
    <t>Participar más. 
Mostar más disposición para trabajar en equipo. 
Mostrar más exigencia en sus trabajos y productos a entregar. 
Tener mejor orden en su cuaderno. 
Entregar tareas,trabajos y productos finales completos. 
Asisitir con regularidad a clases. 
Molesta a sus compañeros constantemente. 
Mejorar ortografía y caligrafía.</t>
  </si>
  <si>
    <t>REINA DENISSE ORONIA CASTAÑEDA</t>
  </si>
  <si>
    <t>Cumple con tareas y pone empeño</t>
  </si>
  <si>
    <t xml:space="preserve">Creativa
Disposición a ayudara sus compañeros cuando lo requieren
Demuestra compromiso con su aprendizaje
Responsable 
Autónoma </t>
  </si>
  <si>
    <t>Trabajar ortografía. 
Mejorar la comprensión lectora y resolución de problemas matemáticos</t>
  </si>
  <si>
    <t>KENYA CERVANTES RODRIGUEZ</t>
  </si>
  <si>
    <t>5°</t>
  </si>
  <si>
    <t>Ayuda a sus compañeros cuando lo requieren 
Creativa
Participativa
Es autónoma
Muestra disposición para trabajar en equipo
Cumple con la mayoría de sus tareas 
Culmina los trabajos elaborados durante la clase
Muestra interés y disposición para aprender.</t>
  </si>
  <si>
    <t>Mejorar la calidad de sus trabajos. Tener mejor orden en sus cuadernos. Trabajar comprensión y fluidez lectora. Caligrafía y ortografria</t>
  </si>
  <si>
    <t>KAROLINA LOPEZ LOPEZ</t>
  </si>
  <si>
    <t>Entrega trabajos en tiempo y orden. ¡Felicidades!</t>
  </si>
  <si>
    <t>Es responsable con sus tareas y trabajos escolares. 
Muestra interés y disposición para aprender.
Es autónoma en la realización de actividades. 
Demuestra compromiso con su aprendizaje. 
Muestra exigencia en sus trabajos y productos a entregar. 
Es participativa.
Creativa. 
Buena fluidez y comprensión lectora
Dominio de operaciones básicas</t>
  </si>
  <si>
    <t>SARAH MUÑIZ ORONIA</t>
  </si>
  <si>
    <t>Mejorar caligrafía y ortigrafía. 
Fluidez y comprensión lectora. 
Resolución de problemas matemáticos. 
Mostrar más exigencia en la calidad de sus trabajos. 
Platica mucho</t>
  </si>
  <si>
    <t>CRISTOPHER ORONIA CRUZ</t>
  </si>
  <si>
    <t>"Es responsable, pero debe mejorar calidad"</t>
  </si>
  <si>
    <t>Disposición para aprender
Autónomo
Ayuda a sus compañeros cuando lo requieren 
Muestra disposición e interés para aprender</t>
  </si>
  <si>
    <t>Mejorar caligrafía y ortigrafía. 
Fluidez y comprensión lectora.
Resolución de problemas matemáticos. 
Mostrar más exigencia en la calidad de sus trabajos.</t>
  </si>
  <si>
    <t>RENE GUADALUPE ORONIA MUÑIZ</t>
  </si>
  <si>
    <t>Disposición para aprender
Autónomo
Ayuda a sus compañeros cuando lo requieren 
Resolución de problemas y operaciones basicas matemáticas
Muestra disposición e interés para aprender</t>
  </si>
  <si>
    <t>Cuidar la limpieza de sus trabajos y cuadenos . Mejorar la caligrafía y ortografía.</t>
  </si>
  <si>
    <t>MONICA NICOLE UTRERA ORONIA</t>
  </si>
  <si>
    <t>Es responsable con sus tareas y trabajos escolares. 
Muestra interés y disposición para aprender.
Es autónoma en la realización de actividades. 
Demuestra compromiso con su aprendizaje. 
Muestra exigencia en sus trabajos y productos a entregar. 
Es participativa.
Creativa. 
Buena fluidez y comprensión lectora</t>
  </si>
  <si>
    <t>VERONICA CONCHAS CASTAÑEDA</t>
  </si>
  <si>
    <t xml:space="preserve">Creativa
Muestra interés y disposición para aprender
Responsable con tareas 
</t>
  </si>
  <si>
    <t>Terminar trabajos en clase. 
Mejorar caligrafía y ortografia. 
Trabajar resolución de problemas matematicos, operaciones basicas y comprensión lectora. 
Participar más</t>
  </si>
  <si>
    <t>DANNIA AILYN CAMACHO GALLEGOS</t>
  </si>
  <si>
    <t>6°</t>
  </si>
  <si>
    <t>Muy bueno ¡Felicidades!</t>
  </si>
  <si>
    <t xml:space="preserve">Es responsable con sus tareas y trabajos escolares. 
Muestra interés y disposición para aprender.
Es autónoma en la realización de actividades. 
Demuestra compromiso con su aprendizaje. 
Muestra exigencia en sus trabajos y productos a entregar. 
Es participativa.
Creativa. 
Buena fluidez y comprensión lectora
Autónoma
Dominio de operaciones básicas 
</t>
  </si>
  <si>
    <t>Trabajar comprensión lectora, ortografía y operaciones basicas en fracciones y multiplicaciones</t>
  </si>
  <si>
    <t>SIXTO DE LA CRUZ CARRILLO</t>
  </si>
  <si>
    <t>LILIANA CRUZ GRACIANO</t>
  </si>
  <si>
    <t>Es responsable con sus tareas y trabajos escolares.
Muestra interés y disposición para aprender.
Es autónoma en la realización de actividades. 
Demuestra compromiso con su aprendizaje. 
Muestra exigencia en sus trabajos y productos a entregar. 
Es participativa. 
Creativa. 
Buena fluidez y comprensión lectora</t>
  </si>
  <si>
    <t>ADRIAN ALEXANDRO MUÑIZ VELA</t>
  </si>
  <si>
    <t>Ayuda a sus compañeros cuando lo requieren</t>
  </si>
  <si>
    <t>Cumplimiento de tareas y trabajos. 
Mejorar la calidad de sus trabajos.
Caligrafía y Ortografía. 
Fluidez y comprensión lectora. 
Mostrar más disposición para la realización de las actividades. 
Participar más. 
Distraido. 
Dominio de resolución de problemas matemáticos</t>
  </si>
  <si>
    <t>SANTIAGO VELA CONCHAS</t>
  </si>
  <si>
    <t>Resolución de problemas y operaciones matemáticas básicas
Es participativo</t>
  </si>
  <si>
    <t>Mostrar más exigencia en la elaboración de sus trabajos. 
Mejorar caligrafía y ortografía. 
Hábitos en sus trabajos como poner titulo, fecha y nombre. 
Requiere mayor orden en su material escolar y espacio de trabajo.
Mostrar más respeto a sus comapñeros. 
Platica mucho y esta fuera de su lugar constantemente distrayendo a sus compañeros</t>
  </si>
  <si>
    <t>EJEMPLO</t>
  </si>
  <si>
    <t>REPORTE TRIMESTRAL DE EVALUACIÓN</t>
  </si>
  <si>
    <t>NOMBRE DEL ALUMNO:</t>
  </si>
  <si>
    <t>1. DESEMPEÑO CONTINUO (70%) Y EXÁMENES (30%)</t>
  </si>
  <si>
    <t>CRITERIOS</t>
  </si>
  <si>
    <t>Lenguajes</t>
  </si>
  <si>
    <t>Saberes y P. Científico</t>
  </si>
  <si>
    <t>Ética, Nat. y Sociedades</t>
  </si>
  <si>
    <t>De lo Humano y Com.</t>
  </si>
  <si>
    <t>Tareas (25%)</t>
  </si>
  <si>
    <t>Trabajos (25%)</t>
  </si>
  <si>
    <t>Asistencia (10%)</t>
  </si>
  <si>
    <t>Participación (5%)</t>
  </si>
  <si>
    <t>Conducta (5%)</t>
  </si>
  <si>
    <t>EXAMEN (30%)</t>
  </si>
  <si>
    <t>CALIFICACIÓN TOTAL (100%)</t>
  </si>
  <si>
    <t>SIMBOLOGÍA DE EVALUACIÓN:</t>
  </si>
  <si>
    <t>● Logrado</t>
  </si>
  <si>
    <t>● En Proceso</t>
  </si>
  <si>
    <t>● Requiere Apoyo</t>
  </si>
  <si>
    <t>2. REVISIÓN DE CUADERNO</t>
  </si>
  <si>
    <t>Orden y limpieza:</t>
  </si>
  <si>
    <t>Signos de puntuación:</t>
  </si>
  <si>
    <t>Escribe fecha completa:</t>
  </si>
  <si>
    <t>Acentuación:</t>
  </si>
  <si>
    <t>Título de actividad:</t>
  </si>
  <si>
    <t>Buen estado de libreta:</t>
  </si>
  <si>
    <t>Letra legible:</t>
  </si>
  <si>
    <t>Orden por proyecto:</t>
  </si>
  <si>
    <t>Uso Mayúsculas/minúsculas:</t>
  </si>
  <si>
    <t>Respeta margen:</t>
  </si>
  <si>
    <t>3. HABILIDADES BÁSICAS: LECTURA Y MATEMÁTICAS</t>
  </si>
  <si>
    <t>LECTURA</t>
  </si>
  <si>
    <t>MATEMÁTICAS</t>
  </si>
  <si>
    <t>Palabras por min. (PPM):</t>
  </si>
  <si>
    <t>Suma:</t>
  </si>
  <si>
    <t>Diagnóstico de Velocidad:</t>
  </si>
  <si>
    <t>Resta:</t>
  </si>
  <si>
    <t>Comprensión:</t>
  </si>
  <si>
    <t>Multiplicación:</t>
  </si>
  <si>
    <t>División:</t>
  </si>
  <si>
    <t>Fracciones:</t>
  </si>
  <si>
    <t>Tablas de multiplicar:</t>
  </si>
  <si>
    <t>Lectura de cantidades:</t>
  </si>
  <si>
    <t>Problemas matemáticos:</t>
  </si>
  <si>
    <t>4. OBSERVACIONES DEL DOCENTE</t>
  </si>
  <si>
    <t>TRABAJO DIARIO:</t>
  </si>
  <si>
    <t>FORTALEZAS</t>
  </si>
  <si>
    <t>ÁREAS DE OPORTUNIDAD</t>
  </si>
  <si>
    <t>__________________________________</t>
  </si>
  <si>
    <t>Firma del Docente</t>
  </si>
  <si>
    <t>Firma del Padre o Tutor</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</si>
</sst>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color rgb="FFFFFFFF"/>
      <name val="Arial"/>
      <scheme val="minor"/>
    </font>
    <font>
      <b/>
      <color rgb="FFB45309"/>
      <name val="Arial"/>
      <scheme val="minor"/>
    </font>
    <font>
      <color theme="1"/>
      <name val="Arial"/>
      <scheme val="minor"/>
    </font>
    <font>
      <b/>
      <color theme="1"/>
      <name val="Arial"/>
      <scheme val="minor"/>
    </font>
    <font>
      <b/>
      <sz val="16.0"/>
      <color rgb="FFFFFFFF"/>
      <name val="Arial"/>
    </font>
    <font>
      <color theme="1"/>
      <name val="Arial"/>
    </font>
    <font>
      <b/>
      <color theme="1"/>
      <name val="Arial"/>
    </font>
    <font>
      <b/>
      <sz val="12.0"/>
      <color theme="1"/>
      <name val="Arial"/>
    </font>
    <font/>
    <font>
      <b/>
      <color rgb="FFFFFFFF"/>
      <name val="Arial"/>
    </font>
    <font>
      <b/>
      <color rgb="FF3730A3"/>
      <name val="Arial"/>
    </font>
    <font>
      <b/>
      <sz val="14.0"/>
      <color rgb="FF374151"/>
      <name val="Arial"/>
    </font>
    <font>
      <b/>
      <color rgb="FF6B21A8"/>
      <name val="Arial"/>
    </font>
    <font>
      <b/>
      <sz val="14.0"/>
      <color rgb="FF6B21A8"/>
      <name val="Arial"/>
    </font>
    <font>
      <b/>
      <color rgb="FF1E3A8A"/>
      <name val="Arial"/>
    </font>
    <font>
      <b/>
      <sz val="14.0"/>
      <color rgb="FF1E3A8A"/>
      <name val="Arial"/>
    </font>
    <font>
      <b/>
      <sz val="10.0"/>
      <color theme="1"/>
      <name val="Arial"/>
    </font>
    <font>
      <b/>
      <sz val="10.0"/>
      <color rgb="FF16A34A"/>
      <name val="Arial"/>
    </font>
    <font>
      <b/>
      <sz val="10.0"/>
      <color rgb="FFD97706"/>
      <name val="Arial"/>
    </font>
    <font>
      <b/>
      <sz val="10.0"/>
      <color rgb="FFDC2626"/>
      <name val="Arial"/>
    </font>
    <font>
      <sz val="18.0"/>
      <color theme="1"/>
      <name val="Arial"/>
    </font>
    <font>
      <b/>
      <sz val="14.0"/>
      <color theme="1"/>
      <name val="Arial"/>
    </font>
    <font>
      <b/>
      <sz val="10.0"/>
      <color rgb="FFC2410C"/>
      <name val="Arial"/>
    </font>
    <font>
      <sz val="10.0"/>
      <color theme="1"/>
      <name val="Arial"/>
    </font>
    <font>
      <sz val="11.0"/>
      <color theme="1"/>
      <name val="Arial"/>
    </font>
    <font>
      <b/>
      <color rgb="FF166534"/>
      <name val="Arial"/>
    </font>
    <font>
      <b/>
      <color rgb="FF991B1B"/>
      <name val="Arial"/>
    </font>
  </fonts>
  <fills count="21">
    <fill>
      <patternFill patternType="none"/>
    </fill>
    <fill>
      <patternFill patternType="lightGray"/>
    </fill>
    <fill>
      <patternFill patternType="solid">
        <fgColor rgb="FF2563EB"/>
        <bgColor rgb="FF2563EB"/>
      </patternFill>
    </fill>
    <fill>
      <patternFill patternType="solid">
        <fgColor rgb="FFFEF08A"/>
        <bgColor rgb="FFFEF08A"/>
      </patternFill>
    </fill>
    <fill>
      <patternFill patternType="solid">
        <fgColor rgb="FFE5E7EB"/>
        <bgColor rgb="FFE5E7EB"/>
      </patternFill>
    </fill>
    <fill>
      <patternFill patternType="solid">
        <fgColor rgb="FFFEF9C3"/>
        <bgColor rgb="FFFEF9C3"/>
      </patternFill>
    </fill>
    <fill>
      <patternFill patternType="solid">
        <fgColor rgb="FF1D4ED8"/>
        <bgColor rgb="FF1D4ED8"/>
      </patternFill>
    </fill>
    <fill>
      <patternFill patternType="solid">
        <fgColor rgb="FFFFFFFF"/>
        <bgColor rgb="FFFFFFFF"/>
      </patternFill>
    </fill>
    <fill>
      <patternFill patternType="solid">
        <fgColor theme="0"/>
        <bgColor theme="0"/>
      </patternFill>
    </fill>
    <fill>
      <patternFill patternType="solid">
        <fgColor rgb="FF3B82F6"/>
        <bgColor rgb="FF3B82F6"/>
      </patternFill>
    </fill>
    <fill>
      <patternFill patternType="solid">
        <fgColor rgb="FFE0E7FF"/>
        <bgColor rgb="FFE0E7FF"/>
      </patternFill>
    </fill>
    <fill>
      <patternFill patternType="solid">
        <fgColor rgb="FFF3E8FF"/>
        <bgColor rgb="FFF3E8FF"/>
      </patternFill>
    </fill>
    <fill>
      <patternFill patternType="solid">
        <fgColor rgb="FFDBEAFE"/>
        <bgColor rgb="FFDBEAFE"/>
      </patternFill>
    </fill>
    <fill>
      <patternFill patternType="solid">
        <fgColor rgb="FF0EA5E9"/>
        <bgColor rgb="FF0EA5E9"/>
      </patternFill>
    </fill>
    <fill>
      <patternFill patternType="solid">
        <fgColor rgb="FF351C75"/>
        <bgColor rgb="FF351C75"/>
      </patternFill>
    </fill>
    <fill>
      <patternFill patternType="solid">
        <fgColor rgb="FFC9DAF8"/>
        <bgColor rgb="FFC9DAF8"/>
      </patternFill>
    </fill>
    <fill>
      <patternFill patternType="solid">
        <fgColor rgb="FFE06666"/>
        <bgColor rgb="FFE06666"/>
      </patternFill>
    </fill>
    <fill>
      <patternFill patternType="solid">
        <fgColor rgb="FF10B981"/>
        <bgColor rgb="FF10B981"/>
      </patternFill>
    </fill>
    <fill>
      <patternFill patternType="solid">
        <fgColor rgb="FFA2C4C9"/>
        <bgColor rgb="FFA2C4C9"/>
      </patternFill>
    </fill>
    <fill>
      <patternFill patternType="solid">
        <fgColor rgb="FFDCFCE7"/>
        <bgColor rgb="FFDCFCE7"/>
      </patternFill>
    </fill>
    <fill>
      <patternFill patternType="solid">
        <fgColor rgb="FFFEE2E2"/>
        <bgColor rgb="FFFEE2E2"/>
      </patternFill>
    </fill>
  </fills>
  <borders count="22">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166534"/>
      </left>
      <top style="thin">
        <color rgb="FF166534"/>
      </top>
    </border>
    <border>
      <right style="thin">
        <color rgb="FF166534"/>
      </right>
      <top style="thin">
        <color rgb="FF166534"/>
      </top>
    </border>
    <border>
      <left style="thin">
        <color rgb="FF991B1B"/>
      </left>
      <top style="thin">
        <color rgb="FF991B1B"/>
      </top>
    </border>
    <border>
      <top style="thin">
        <color rgb="FF991B1B"/>
      </top>
    </border>
    <border>
      <right style="thin">
        <color rgb="FF991B1B"/>
      </right>
      <top style="thin">
        <color rgb="FF991B1B"/>
      </top>
    </border>
    <border>
      <left style="thin">
        <color rgb="FF166534"/>
      </left>
    </border>
    <border>
      <right style="thin">
        <color rgb="FF166534"/>
      </right>
    </border>
    <border>
      <left style="thin">
        <color rgb="FF991B1B"/>
      </left>
    </border>
    <border>
      <right style="thin">
        <color rgb="FF991B1B"/>
      </right>
    </border>
    <border>
      <left style="thin">
        <color rgb="FF166534"/>
      </left>
      <bottom style="thin">
        <color rgb="FF166534"/>
      </bottom>
    </border>
    <border>
      <right style="thin">
        <color rgb="FF166534"/>
      </right>
      <bottom style="thin">
        <color rgb="FF166534"/>
      </bottom>
    </border>
    <border>
      <left style="thin">
        <color rgb="FF991B1B"/>
      </left>
      <bottom style="thin">
        <color rgb="FF991B1B"/>
      </bottom>
    </border>
    <border>
      <bottom style="thin">
        <color rgb="FF991B1B"/>
      </bottom>
    </border>
    <border>
      <right style="thin">
        <color rgb="FF991B1B"/>
      </right>
      <bottom style="thin">
        <color rgb="FF991B1B"/>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readingOrder="0"/>
    </xf>
    <xf borderId="0" fillId="4" fontId="3" numFmtId="0" xfId="0" applyAlignment="1" applyFill="1" applyFont="1">
      <alignment horizontal="center" readingOrder="0"/>
    </xf>
    <xf borderId="0" fillId="5" fontId="4" numFmtId="0" xfId="0" applyAlignment="1" applyFill="1" applyFont="1">
      <alignment horizontal="center" readingOrder="0"/>
    </xf>
    <xf borderId="0" fillId="5" fontId="4" numFmtId="0" xfId="0" applyAlignment="1" applyFont="1">
      <alignment horizontal="center" readingOrder="0"/>
    </xf>
    <xf borderId="0" fillId="4" fontId="3" numFmtId="0" xfId="0" applyFont="1"/>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Alignment="1" applyFont="1">
      <alignment shrinkToFit="0" wrapText="1"/>
    </xf>
    <xf borderId="0" fillId="6" fontId="5" numFmtId="0" xfId="0" applyAlignment="1" applyFill="1" applyFont="1">
      <alignment horizontal="center" readingOrder="0" vertical="center"/>
    </xf>
    <xf borderId="0" fillId="7" fontId="6" numFmtId="0" xfId="0" applyFill="1" applyFont="1"/>
    <xf borderId="0" fillId="7" fontId="7" numFmtId="0" xfId="0" applyAlignment="1" applyFont="1">
      <alignment horizontal="right" readingOrder="0" vertical="center"/>
    </xf>
    <xf borderId="1" fillId="8" fontId="8" numFmtId="0" xfId="0" applyAlignment="1" applyBorder="1" applyFill="1" applyFont="1">
      <alignment readingOrder="0" vertical="center"/>
    </xf>
    <xf borderId="2" fillId="0" fontId="9" numFmtId="0" xfId="0" applyBorder="1" applyFont="1"/>
    <xf borderId="3" fillId="0" fontId="9" numFmtId="0" xfId="0" applyBorder="1" applyFont="1"/>
    <xf borderId="4" fillId="9" fontId="10" numFmtId="0" xfId="0" applyAlignment="1" applyBorder="1" applyFill="1" applyFont="1">
      <alignment horizontal="center" readingOrder="0"/>
    </xf>
    <xf borderId="5" fillId="0" fontId="9" numFmtId="0" xfId="0" applyBorder="1" applyFont="1"/>
    <xf borderId="6" fillId="0" fontId="9" numFmtId="0" xfId="0" applyBorder="1" applyFont="1"/>
    <xf borderId="7" fillId="10" fontId="11" numFmtId="0" xfId="0" applyAlignment="1" applyBorder="1" applyFill="1" applyFont="1">
      <alignment horizontal="center" readingOrder="0" shrinkToFit="0" vertical="center" wrapText="1"/>
    </xf>
    <xf borderId="7" fillId="7" fontId="7" numFmtId="0" xfId="0" applyAlignment="1" applyBorder="1" applyFont="1">
      <alignment readingOrder="0" vertical="center"/>
    </xf>
    <xf borderId="7" fillId="7" fontId="12" numFmtId="0" xfId="0" applyAlignment="1" applyBorder="1" applyFont="1">
      <alignment horizontal="center" vertical="center"/>
    </xf>
    <xf borderId="7" fillId="11" fontId="13" numFmtId="0" xfId="0" applyAlignment="1" applyBorder="1" applyFill="1" applyFont="1">
      <alignment readingOrder="0" vertical="center"/>
    </xf>
    <xf borderId="7" fillId="11" fontId="14" numFmtId="0" xfId="0" applyAlignment="1" applyBorder="1" applyFont="1">
      <alignment horizontal="center" vertical="center"/>
    </xf>
    <xf borderId="7" fillId="12" fontId="15" numFmtId="0" xfId="0" applyAlignment="1" applyBorder="1" applyFill="1" applyFont="1">
      <alignment horizontal="right" readingOrder="0"/>
    </xf>
    <xf borderId="7" fillId="12" fontId="16" numFmtId="0" xfId="0" applyAlignment="1" applyBorder="1" applyFont="1">
      <alignment horizontal="center"/>
    </xf>
    <xf borderId="0" fillId="8" fontId="17" numFmtId="0" xfId="0" applyAlignment="1" applyFont="1">
      <alignment horizontal="right" readingOrder="0"/>
    </xf>
    <xf borderId="0" fillId="8" fontId="18" numFmtId="0" xfId="0" applyAlignment="1" applyFont="1">
      <alignment horizontal="center" readingOrder="0"/>
    </xf>
    <xf borderId="0" fillId="8" fontId="19" numFmtId="0" xfId="0" applyAlignment="1" applyFont="1">
      <alignment horizontal="center" readingOrder="0"/>
    </xf>
    <xf borderId="0" fillId="8" fontId="20" numFmtId="0" xfId="0" applyAlignment="1" applyFont="1">
      <alignment horizontal="center" readingOrder="0"/>
    </xf>
    <xf borderId="4" fillId="13" fontId="10" numFmtId="0" xfId="0" applyAlignment="1" applyBorder="1" applyFill="1" applyFont="1">
      <alignment horizontal="center" readingOrder="0"/>
    </xf>
    <xf borderId="7" fillId="7" fontId="17" numFmtId="0" xfId="0" applyAlignment="1" applyBorder="1" applyFont="1">
      <alignment readingOrder="0"/>
    </xf>
    <xf borderId="7" fillId="7" fontId="21" numFmtId="0" xfId="0" applyAlignment="1" applyBorder="1" applyFont="1">
      <alignment horizontal="center"/>
    </xf>
    <xf borderId="4" fillId="7" fontId="17" numFmtId="0" xfId="0" applyAlignment="1" applyBorder="1" applyFont="1">
      <alignment readingOrder="0"/>
    </xf>
    <xf borderId="4" fillId="14" fontId="10" numFmtId="0" xfId="0" applyAlignment="1" applyBorder="1" applyFill="1" applyFont="1">
      <alignment horizontal="center" readingOrder="0"/>
    </xf>
    <xf borderId="4" fillId="15" fontId="7" numFmtId="0" xfId="0" applyAlignment="1" applyBorder="1" applyFill="1" applyFont="1">
      <alignment horizontal="center" readingOrder="0"/>
    </xf>
    <xf borderId="4" fillId="16" fontId="7" numFmtId="0" xfId="0" applyAlignment="1" applyBorder="1" applyFill="1" applyFont="1">
      <alignment horizontal="center" readingOrder="0"/>
    </xf>
    <xf borderId="7" fillId="7" fontId="22" numFmtId="0" xfId="0" applyAlignment="1" applyBorder="1" applyFont="1">
      <alignment horizontal="center" vertical="center"/>
    </xf>
    <xf borderId="7" fillId="7" fontId="23" numFmtId="0" xfId="0" applyAlignment="1" applyBorder="1" applyFont="1">
      <alignment horizontal="center" shrinkToFit="0" vertical="center" wrapText="1"/>
    </xf>
    <xf borderId="7" fillId="7" fontId="24" numFmtId="0" xfId="0" applyAlignment="1" applyBorder="1" applyFont="1">
      <alignment horizontal="center" shrinkToFit="0" vertical="center" wrapText="1"/>
    </xf>
    <xf borderId="7" fillId="7" fontId="6" numFmtId="0" xfId="0" applyBorder="1" applyFont="1"/>
    <xf borderId="0" fillId="7" fontId="7" numFmtId="0" xfId="0" applyAlignment="1" applyFont="1">
      <alignment readingOrder="0"/>
    </xf>
    <xf borderId="0" fillId="7" fontId="21" numFmtId="0" xfId="0" applyAlignment="1" applyFont="1">
      <alignment horizontal="center"/>
    </xf>
    <xf borderId="0" fillId="17" fontId="10" numFmtId="0" xfId="0" applyAlignment="1" applyFill="1" applyFont="1">
      <alignment horizontal="center" readingOrder="0"/>
    </xf>
    <xf borderId="0" fillId="18" fontId="7" numFmtId="0" xfId="0" applyAlignment="1" applyFill="1" applyFont="1">
      <alignment horizontal="center" readingOrder="0" vertical="center"/>
    </xf>
    <xf borderId="0" fillId="8" fontId="25" numFmtId="0" xfId="0" applyAlignment="1" applyFont="1">
      <alignment shrinkToFit="0" vertical="center" wrapText="1"/>
    </xf>
    <xf borderId="0" fillId="19" fontId="26" numFmtId="0" xfId="0" applyAlignment="1" applyFill="1" applyFont="1">
      <alignment horizontal="center" readingOrder="0"/>
    </xf>
    <xf borderId="0" fillId="20" fontId="27" numFmtId="0" xfId="0" applyAlignment="1" applyFill="1" applyFont="1">
      <alignment horizontal="center" readingOrder="0"/>
    </xf>
    <xf borderId="8" fillId="7" fontId="6" numFmtId="0" xfId="0" applyAlignment="1" applyBorder="1" applyFont="1">
      <alignment shrinkToFit="0" vertical="top" wrapText="1"/>
    </xf>
    <xf borderId="9" fillId="0" fontId="9" numFmtId="0" xfId="0" applyBorder="1" applyFont="1"/>
    <xf borderId="10" fillId="7" fontId="6" numFmtId="0" xfId="0" applyAlignment="1" applyBorder="1" applyFont="1">
      <alignment shrinkToFit="0" vertical="top" wrapText="1"/>
    </xf>
    <xf borderId="11" fillId="0" fontId="9" numFmtId="0" xfId="0" applyBorder="1" applyFont="1"/>
    <xf borderId="12" fillId="0" fontId="9" numFmtId="0" xfId="0" applyBorder="1" applyFont="1"/>
    <xf borderId="13" fillId="0" fontId="9" numFmtId="0" xfId="0" applyBorder="1" applyFont="1"/>
    <xf borderId="14" fillId="0" fontId="9" numFmtId="0" xfId="0" applyBorder="1" applyFont="1"/>
    <xf borderId="15" fillId="0" fontId="9" numFmtId="0" xfId="0" applyBorder="1" applyFont="1"/>
    <xf borderId="16" fillId="0" fontId="9" numFmtId="0" xfId="0" applyBorder="1" applyFont="1"/>
    <xf borderId="17" fillId="0" fontId="9" numFmtId="0" xfId="0" applyBorder="1" applyFont="1"/>
    <xf borderId="18" fillId="0" fontId="9" numFmtId="0" xfId="0" applyBorder="1" applyFont="1"/>
    <xf borderId="19" fillId="0" fontId="9" numFmtId="0" xfId="0" applyBorder="1" applyFont="1"/>
    <xf borderId="20" fillId="0" fontId="9" numFmtId="0" xfId="0" applyBorder="1" applyFont="1"/>
    <xf borderId="21" fillId="0" fontId="9" numFmtId="0" xfId="0" applyBorder="1" applyFont="1"/>
    <xf borderId="0" fillId="7" fontId="6" numFmtId="0" xfId="0" applyAlignment="1" applyFont="1">
      <alignment horizontal="center" readingOrder="0"/>
    </xf>
    <xf borderId="0" fillId="7" fontId="7" numFmtId="0" xfId="0" applyAlignment="1" applyFont="1">
      <alignment horizontal="center" readingOrder="0"/>
    </xf>
  </cellXfs>
  <cellStyles count="1">
    <cellStyle xfId="0" name="Normal" builtinId="0"/>
  </cellStyles>
  <dxfs count="4">
    <dxf>
      <font>
        <color rgb="FF16A34A"/>
      </font>
      <fill>
        <patternFill patternType="none"/>
      </fill>
      <border/>
    </dxf>
    <dxf>
      <font>
        <color rgb="FFD97706"/>
      </font>
      <fill>
        <patternFill patternType="none"/>
      </fill>
      <border/>
    </dxf>
    <dxf>
      <font>
        <color rgb="FFDC2626"/>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1.38"/>
    <col customWidth="1" min="37" max="37" width="10.88"/>
    <col customWidth="1" min="38" max="38" width="19.0"/>
    <col customWidth="1" min="48" max="48" width="157.5"/>
    <col customWidth="1" min="49" max="49" width="39.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2" t="s">
        <v>49</v>
      </c>
      <c r="B2" s="3" t="s">
        <v>50</v>
      </c>
      <c r="C2" s="4">
        <v>5.0</v>
      </c>
      <c r="D2" s="4">
        <v>8.0</v>
      </c>
      <c r="E2" s="4">
        <v>21.0</v>
      </c>
      <c r="F2" s="5">
        <v>10.0</v>
      </c>
      <c r="G2" s="5">
        <v>10.0</v>
      </c>
      <c r="H2" s="4">
        <v>20.0</v>
      </c>
      <c r="I2" s="4">
        <v>5.0</v>
      </c>
      <c r="J2" s="4">
        <v>13.0</v>
      </c>
      <c r="K2" s="4">
        <v>21.0</v>
      </c>
      <c r="L2" s="5">
        <v>10.0</v>
      </c>
      <c r="M2" s="5">
        <v>10.0</v>
      </c>
      <c r="N2" s="4">
        <v>22.0</v>
      </c>
      <c r="O2" s="4">
        <v>1.0</v>
      </c>
      <c r="P2" s="4">
        <v>5.0</v>
      </c>
      <c r="Q2" s="4">
        <v>21.0</v>
      </c>
      <c r="R2" s="5">
        <v>10.0</v>
      </c>
      <c r="S2" s="5">
        <v>10.0</v>
      </c>
      <c r="T2" s="4">
        <v>17.0</v>
      </c>
      <c r="U2" s="4">
        <v>1.0</v>
      </c>
      <c r="V2" s="4">
        <v>3.0</v>
      </c>
      <c r="W2" s="4">
        <v>21.0</v>
      </c>
      <c r="X2" s="5">
        <v>10.0</v>
      </c>
      <c r="Y2" s="5">
        <v>10.0</v>
      </c>
      <c r="Z2" s="4">
        <v>16.0</v>
      </c>
      <c r="AA2" s="6"/>
      <c r="AB2" s="6"/>
      <c r="AC2" s="6"/>
      <c r="AD2" s="6"/>
      <c r="AE2" s="6"/>
      <c r="AF2" s="6"/>
      <c r="AG2" s="6"/>
      <c r="AH2" s="6"/>
      <c r="AI2" s="6"/>
      <c r="AJ2" s="6"/>
      <c r="AK2" s="6"/>
      <c r="AL2" s="6"/>
      <c r="AM2" s="6"/>
      <c r="AN2" s="6"/>
      <c r="AO2" s="6"/>
      <c r="AP2" s="6"/>
      <c r="AQ2" s="6"/>
      <c r="AR2" s="6"/>
      <c r="AS2" s="6"/>
      <c r="AT2" s="6"/>
      <c r="AU2" s="6"/>
      <c r="AV2" s="6"/>
      <c r="AW2" s="6"/>
      <c r="AX2" s="6"/>
      <c r="AY2" s="6"/>
      <c r="AZ2" s="6"/>
      <c r="BA2" s="6"/>
    </row>
    <row r="3">
      <c r="A3" s="7" t="s">
        <v>51</v>
      </c>
      <c r="B3" s="7" t="s">
        <v>52</v>
      </c>
      <c r="C3" s="7">
        <v>3.0</v>
      </c>
      <c r="D3" s="7">
        <v>7.0</v>
      </c>
      <c r="E3" s="7">
        <v>17.0</v>
      </c>
      <c r="F3" s="7">
        <v>6.0</v>
      </c>
      <c r="G3" s="7">
        <v>8.0</v>
      </c>
      <c r="H3" s="7">
        <v>11.0</v>
      </c>
      <c r="I3" s="7">
        <v>3.0</v>
      </c>
      <c r="J3" s="7">
        <v>12.0</v>
      </c>
      <c r="K3" s="7">
        <v>17.0</v>
      </c>
      <c r="L3" s="7">
        <v>6.0</v>
      </c>
      <c r="M3" s="7">
        <v>7.0</v>
      </c>
      <c r="N3" s="7">
        <v>7.0</v>
      </c>
      <c r="O3" s="7">
        <v>1.0</v>
      </c>
      <c r="P3" s="7">
        <v>4.0</v>
      </c>
      <c r="Q3" s="7">
        <v>17.0</v>
      </c>
      <c r="R3" s="7">
        <v>6.0</v>
      </c>
      <c r="S3" s="7">
        <v>7.0</v>
      </c>
      <c r="T3" s="7">
        <v>5.0</v>
      </c>
      <c r="U3" s="7">
        <v>1.0</v>
      </c>
      <c r="V3" s="7">
        <v>2.0</v>
      </c>
      <c r="W3" s="7">
        <v>17.0</v>
      </c>
      <c r="X3" s="7">
        <v>6.0</v>
      </c>
      <c r="Y3" s="7">
        <v>7.0</v>
      </c>
      <c r="Z3" s="7">
        <v>11.0</v>
      </c>
      <c r="AA3" s="7" t="s">
        <v>53</v>
      </c>
      <c r="AB3" s="7" t="s">
        <v>54</v>
      </c>
      <c r="AC3" s="7" t="s">
        <v>53</v>
      </c>
      <c r="AD3" s="7" t="s">
        <v>53</v>
      </c>
      <c r="AE3" s="7" t="s">
        <v>54</v>
      </c>
      <c r="AF3" s="7" t="s">
        <v>53</v>
      </c>
      <c r="AG3" s="7" t="s">
        <v>53</v>
      </c>
      <c r="AH3" s="7" t="s">
        <v>53</v>
      </c>
      <c r="AI3" s="7" t="s">
        <v>55</v>
      </c>
      <c r="AJ3" s="7" t="s">
        <v>54</v>
      </c>
      <c r="AK3" s="7">
        <v>88.0</v>
      </c>
      <c r="AL3" s="7" t="s">
        <v>56</v>
      </c>
      <c r="AM3" s="7" t="s">
        <v>53</v>
      </c>
      <c r="AN3" s="7" t="s">
        <v>55</v>
      </c>
      <c r="AO3" s="7" t="s">
        <v>54</v>
      </c>
      <c r="AP3" s="7" t="s">
        <v>53</v>
      </c>
      <c r="AQ3" s="7" t="s">
        <v>55</v>
      </c>
      <c r="AR3" s="7" t="s">
        <v>55</v>
      </c>
      <c r="AS3" s="7" t="s">
        <v>55</v>
      </c>
      <c r="AT3" s="7" t="s">
        <v>53</v>
      </c>
      <c r="AU3" s="8" t="s">
        <v>57</v>
      </c>
      <c r="AV3" s="7" t="s">
        <v>58</v>
      </c>
      <c r="AW3" s="7" t="s">
        <v>59</v>
      </c>
    </row>
    <row r="4">
      <c r="A4" s="7" t="s">
        <v>60</v>
      </c>
      <c r="B4" s="7" t="s">
        <v>52</v>
      </c>
      <c r="F4" s="7"/>
      <c r="G4" s="9"/>
      <c r="L4" s="9"/>
      <c r="M4" s="9"/>
      <c r="R4" s="9"/>
      <c r="S4" s="9"/>
      <c r="X4" s="9"/>
      <c r="Y4" s="9"/>
      <c r="AA4" s="9"/>
      <c r="AB4" s="9"/>
      <c r="AC4" s="9"/>
      <c r="AD4" s="9"/>
      <c r="AE4" s="9"/>
      <c r="AF4" s="9"/>
      <c r="AG4" s="9"/>
      <c r="AH4" s="9"/>
      <c r="AI4" s="9"/>
      <c r="AJ4" s="9"/>
      <c r="AL4" s="9"/>
      <c r="AM4" s="9"/>
      <c r="AN4" s="9"/>
      <c r="AO4" s="9"/>
      <c r="AP4" s="9"/>
      <c r="AQ4" s="9"/>
      <c r="AR4" s="9"/>
      <c r="AS4" s="9"/>
      <c r="AT4" s="9"/>
      <c r="AU4" s="10"/>
    </row>
    <row r="5">
      <c r="A5" s="7" t="s">
        <v>61</v>
      </c>
      <c r="B5" s="7" t="s">
        <v>52</v>
      </c>
      <c r="C5" s="7">
        <v>3.0</v>
      </c>
      <c r="D5" s="7">
        <v>7.0</v>
      </c>
      <c r="E5" s="7">
        <v>17.0</v>
      </c>
      <c r="F5" s="7">
        <v>8.0</v>
      </c>
      <c r="G5" s="7">
        <v>6.0</v>
      </c>
      <c r="H5" s="7">
        <v>11.0</v>
      </c>
      <c r="I5" s="7">
        <v>3.0</v>
      </c>
      <c r="J5" s="7">
        <v>11.0</v>
      </c>
      <c r="K5" s="7">
        <v>17.0</v>
      </c>
      <c r="L5" s="7">
        <v>7.0</v>
      </c>
      <c r="M5" s="7">
        <v>6.0</v>
      </c>
      <c r="N5" s="7">
        <v>16.0</v>
      </c>
      <c r="O5" s="7">
        <v>1.0</v>
      </c>
      <c r="P5" s="7">
        <v>3.0</v>
      </c>
      <c r="Q5" s="7">
        <v>17.0</v>
      </c>
      <c r="R5" s="7">
        <v>7.0</v>
      </c>
      <c r="S5" s="7">
        <v>6.0</v>
      </c>
      <c r="T5" s="7">
        <v>5.0</v>
      </c>
      <c r="U5" s="7">
        <v>1.0</v>
      </c>
      <c r="V5" s="7">
        <v>3.0</v>
      </c>
      <c r="W5" s="7">
        <v>17.0</v>
      </c>
      <c r="X5" s="7">
        <v>7.0</v>
      </c>
      <c r="Y5" s="7">
        <v>6.0</v>
      </c>
      <c r="Z5" s="7">
        <v>9.0</v>
      </c>
      <c r="AA5" s="7" t="s">
        <v>55</v>
      </c>
      <c r="AB5" s="7" t="s">
        <v>55</v>
      </c>
      <c r="AC5" s="7" t="s">
        <v>55</v>
      </c>
      <c r="AD5" s="7" t="s">
        <v>55</v>
      </c>
      <c r="AE5" s="7" t="s">
        <v>55</v>
      </c>
      <c r="AF5" s="7" t="s">
        <v>55</v>
      </c>
      <c r="AG5" s="7" t="s">
        <v>55</v>
      </c>
      <c r="AH5" s="7" t="s">
        <v>55</v>
      </c>
      <c r="AI5" s="7" t="s">
        <v>55</v>
      </c>
      <c r="AJ5" s="7" t="s">
        <v>55</v>
      </c>
      <c r="AK5" s="7">
        <v>36.0</v>
      </c>
      <c r="AL5" s="7" t="s">
        <v>62</v>
      </c>
      <c r="AM5" s="7" t="s">
        <v>54</v>
      </c>
      <c r="AN5" s="7" t="s">
        <v>54</v>
      </c>
      <c r="AO5" s="7" t="s">
        <v>53</v>
      </c>
      <c r="AP5" s="7" t="s">
        <v>54</v>
      </c>
      <c r="AQ5" s="7" t="s">
        <v>53</v>
      </c>
      <c r="AR5" s="7" t="s">
        <v>53</v>
      </c>
      <c r="AS5" s="7" t="s">
        <v>55</v>
      </c>
      <c r="AT5" s="7" t="s">
        <v>53</v>
      </c>
      <c r="AU5" s="8" t="s">
        <v>57</v>
      </c>
      <c r="AV5" s="7" t="s">
        <v>63</v>
      </c>
      <c r="AW5" s="7" t="s">
        <v>64</v>
      </c>
    </row>
    <row r="6">
      <c r="A6" s="7" t="s">
        <v>65</v>
      </c>
      <c r="B6" s="7" t="s">
        <v>52</v>
      </c>
      <c r="C6" s="7">
        <v>4.0</v>
      </c>
      <c r="D6" s="7">
        <v>7.0</v>
      </c>
      <c r="E6" s="7">
        <v>21.0</v>
      </c>
      <c r="F6" s="7">
        <v>10.0</v>
      </c>
      <c r="G6" s="7">
        <v>9.0</v>
      </c>
      <c r="H6" s="7">
        <v>14.0</v>
      </c>
      <c r="I6" s="7">
        <v>5.0</v>
      </c>
      <c r="J6" s="7">
        <v>13.0</v>
      </c>
      <c r="K6" s="7">
        <v>21.0</v>
      </c>
      <c r="L6" s="7">
        <v>10.0</v>
      </c>
      <c r="M6" s="7">
        <v>10.0</v>
      </c>
      <c r="N6" s="7">
        <v>9.0</v>
      </c>
      <c r="O6" s="7">
        <v>1.0</v>
      </c>
      <c r="P6" s="7">
        <v>5.0</v>
      </c>
      <c r="Q6" s="7">
        <v>21.0</v>
      </c>
      <c r="R6" s="7">
        <v>10.0</v>
      </c>
      <c r="S6" s="7">
        <v>9.0</v>
      </c>
      <c r="T6" s="7">
        <v>8.0</v>
      </c>
      <c r="U6" s="7">
        <v>1.0</v>
      </c>
      <c r="V6" s="7">
        <v>3.0</v>
      </c>
      <c r="W6" s="7">
        <v>21.0</v>
      </c>
      <c r="X6" s="7">
        <v>10.0</v>
      </c>
      <c r="Y6" s="7">
        <v>9.0</v>
      </c>
      <c r="Z6" s="7">
        <v>11.0</v>
      </c>
      <c r="AA6" s="7" t="s">
        <v>54</v>
      </c>
      <c r="AB6" s="7" t="s">
        <v>53</v>
      </c>
      <c r="AC6" s="7" t="s">
        <v>53</v>
      </c>
      <c r="AD6" s="7" t="s">
        <v>54</v>
      </c>
      <c r="AE6" s="7" t="s">
        <v>54</v>
      </c>
      <c r="AF6" s="7" t="s">
        <v>53</v>
      </c>
      <c r="AG6" s="7" t="s">
        <v>53</v>
      </c>
      <c r="AH6" s="7" t="s">
        <v>54</v>
      </c>
      <c r="AI6" s="7" t="s">
        <v>54</v>
      </c>
      <c r="AJ6" s="7" t="s">
        <v>54</v>
      </c>
      <c r="AK6" s="7">
        <v>95.0</v>
      </c>
      <c r="AL6" s="7" t="s">
        <v>56</v>
      </c>
      <c r="AM6" s="7" t="s">
        <v>53</v>
      </c>
      <c r="AN6" s="7" t="s">
        <v>53</v>
      </c>
      <c r="AO6" s="7" t="s">
        <v>54</v>
      </c>
      <c r="AP6" s="7" t="s">
        <v>53</v>
      </c>
      <c r="AQ6" s="7" t="s">
        <v>53</v>
      </c>
      <c r="AR6" s="7" t="s">
        <v>53</v>
      </c>
      <c r="AS6" s="7" t="s">
        <v>53</v>
      </c>
      <c r="AT6" s="7" t="s">
        <v>53</v>
      </c>
      <c r="AU6" s="8" t="s">
        <v>66</v>
      </c>
      <c r="AV6" s="7" t="s">
        <v>67</v>
      </c>
      <c r="AW6" s="7" t="s">
        <v>68</v>
      </c>
    </row>
    <row r="7">
      <c r="A7" s="7" t="s">
        <v>69</v>
      </c>
      <c r="B7" s="7" t="s">
        <v>70</v>
      </c>
      <c r="C7" s="7">
        <v>5.0</v>
      </c>
      <c r="D7" s="7">
        <v>8.0</v>
      </c>
      <c r="E7" s="7">
        <v>21.0</v>
      </c>
      <c r="F7" s="7">
        <v>10.0</v>
      </c>
      <c r="G7" s="7">
        <v>10.0</v>
      </c>
      <c r="H7" s="7">
        <v>9.0</v>
      </c>
      <c r="I7" s="7">
        <v>5.0</v>
      </c>
      <c r="J7" s="7">
        <v>13.0</v>
      </c>
      <c r="K7" s="7">
        <v>20.0</v>
      </c>
      <c r="L7" s="7">
        <v>10.0</v>
      </c>
      <c r="M7" s="7">
        <v>9.0</v>
      </c>
      <c r="N7" s="7">
        <v>12.0</v>
      </c>
      <c r="O7" s="7">
        <v>1.0</v>
      </c>
      <c r="P7" s="7">
        <v>5.0</v>
      </c>
      <c r="Q7" s="7">
        <v>21.0</v>
      </c>
      <c r="R7" s="7">
        <v>10.0</v>
      </c>
      <c r="S7" s="7">
        <v>10.0</v>
      </c>
      <c r="T7" s="7">
        <v>1.0</v>
      </c>
      <c r="U7" s="7">
        <v>1.0</v>
      </c>
      <c r="V7" s="7">
        <v>3.0</v>
      </c>
      <c r="W7" s="7">
        <v>20.0</v>
      </c>
      <c r="X7" s="7">
        <v>10.0</v>
      </c>
      <c r="Y7" s="7">
        <v>9.0</v>
      </c>
      <c r="Z7" s="7">
        <v>10.0</v>
      </c>
      <c r="AA7" s="7" t="s">
        <v>53</v>
      </c>
      <c r="AB7" s="7" t="s">
        <v>53</v>
      </c>
      <c r="AC7" s="7" t="s">
        <v>53</v>
      </c>
      <c r="AD7" s="7" t="s">
        <v>53</v>
      </c>
      <c r="AE7" s="7" t="s">
        <v>55</v>
      </c>
      <c r="AF7" s="7" t="s">
        <v>55</v>
      </c>
      <c r="AG7" s="7" t="s">
        <v>55</v>
      </c>
      <c r="AH7" s="7" t="s">
        <v>53</v>
      </c>
      <c r="AI7" s="7" t="s">
        <v>53</v>
      </c>
      <c r="AJ7" s="7" t="s">
        <v>53</v>
      </c>
      <c r="AK7" s="7">
        <v>83.0</v>
      </c>
      <c r="AL7" s="7" t="s">
        <v>62</v>
      </c>
      <c r="AM7" s="7" t="s">
        <v>53</v>
      </c>
      <c r="AN7" s="7" t="s">
        <v>55</v>
      </c>
      <c r="AO7" s="7" t="s">
        <v>55</v>
      </c>
      <c r="AP7" s="7" t="s">
        <v>55</v>
      </c>
      <c r="AQ7" s="7" t="s">
        <v>53</v>
      </c>
      <c r="AR7" s="7" t="s">
        <v>53</v>
      </c>
      <c r="AS7" s="7" t="s">
        <v>55</v>
      </c>
      <c r="AT7" s="7" t="s">
        <v>53</v>
      </c>
      <c r="AU7" s="8" t="s">
        <v>66</v>
      </c>
      <c r="AV7" s="7" t="s">
        <v>71</v>
      </c>
      <c r="AW7" s="7" t="s">
        <v>72</v>
      </c>
    </row>
    <row r="8">
      <c r="A8" s="7" t="s">
        <v>73</v>
      </c>
      <c r="B8" s="7" t="s">
        <v>70</v>
      </c>
      <c r="C8" s="7">
        <v>5.0</v>
      </c>
      <c r="D8" s="7">
        <v>8.0</v>
      </c>
      <c r="E8" s="7">
        <v>21.0</v>
      </c>
      <c r="F8" s="7">
        <v>10.0</v>
      </c>
      <c r="G8" s="7">
        <v>10.0</v>
      </c>
      <c r="H8" s="7">
        <v>11.0</v>
      </c>
      <c r="I8" s="7">
        <v>5.0</v>
      </c>
      <c r="J8" s="7">
        <v>13.0</v>
      </c>
      <c r="K8" s="7">
        <v>21.0</v>
      </c>
      <c r="L8" s="7">
        <v>10.0</v>
      </c>
      <c r="M8" s="7">
        <v>10.0</v>
      </c>
      <c r="N8" s="7">
        <v>14.0</v>
      </c>
      <c r="O8" s="7">
        <v>1.0</v>
      </c>
      <c r="P8" s="7">
        <v>5.0</v>
      </c>
      <c r="Q8" s="7">
        <v>21.0</v>
      </c>
      <c r="R8" s="7">
        <v>10.0</v>
      </c>
      <c r="S8" s="7">
        <v>10.0</v>
      </c>
      <c r="T8" s="7">
        <v>9.0</v>
      </c>
      <c r="U8" s="7">
        <v>1.0</v>
      </c>
      <c r="V8" s="7">
        <v>3.0</v>
      </c>
      <c r="W8" s="7">
        <v>21.0</v>
      </c>
      <c r="X8" s="7">
        <v>10.0</v>
      </c>
      <c r="Y8" s="7">
        <v>10.0</v>
      </c>
      <c r="Z8" s="7">
        <v>11.0</v>
      </c>
      <c r="AA8" s="7" t="s">
        <v>54</v>
      </c>
      <c r="AB8" s="7" t="s">
        <v>54</v>
      </c>
      <c r="AC8" s="7" t="s">
        <v>54</v>
      </c>
      <c r="AD8" s="7" t="s">
        <v>54</v>
      </c>
      <c r="AE8" s="7" t="s">
        <v>54</v>
      </c>
      <c r="AF8" s="7" t="s">
        <v>53</v>
      </c>
      <c r="AG8" s="7" t="s">
        <v>53</v>
      </c>
      <c r="AH8" s="7" t="s">
        <v>54</v>
      </c>
      <c r="AI8" s="7" t="s">
        <v>54</v>
      </c>
      <c r="AJ8" s="7" t="s">
        <v>54</v>
      </c>
      <c r="AK8" s="7">
        <v>118.0</v>
      </c>
      <c r="AL8" s="7" t="s">
        <v>56</v>
      </c>
      <c r="AM8" s="7" t="s">
        <v>54</v>
      </c>
      <c r="AN8" s="7" t="s">
        <v>53</v>
      </c>
      <c r="AO8" s="7" t="s">
        <v>54</v>
      </c>
      <c r="AP8" s="7" t="s">
        <v>53</v>
      </c>
      <c r="AQ8" s="7" t="s">
        <v>53</v>
      </c>
      <c r="AR8" s="7" t="s">
        <v>54</v>
      </c>
      <c r="AS8" s="7" t="s">
        <v>54</v>
      </c>
      <c r="AT8" s="7" t="s">
        <v>53</v>
      </c>
      <c r="AU8" s="8" t="s">
        <v>74</v>
      </c>
      <c r="AV8" s="7" t="s">
        <v>75</v>
      </c>
    </row>
    <row r="9">
      <c r="A9" s="7" t="s">
        <v>76</v>
      </c>
      <c r="B9" s="7" t="s">
        <v>70</v>
      </c>
      <c r="C9" s="7">
        <v>5.0</v>
      </c>
      <c r="D9" s="7">
        <v>8.0</v>
      </c>
      <c r="E9" s="7">
        <v>21.0</v>
      </c>
      <c r="F9" s="7">
        <v>9.0</v>
      </c>
      <c r="G9" s="7">
        <v>9.0</v>
      </c>
      <c r="H9" s="7">
        <v>13.0</v>
      </c>
      <c r="I9" s="7">
        <v>5.0</v>
      </c>
      <c r="J9" s="7">
        <v>12.0</v>
      </c>
      <c r="K9" s="7">
        <v>21.0</v>
      </c>
      <c r="L9" s="7">
        <v>9.0</v>
      </c>
      <c r="M9" s="7">
        <v>9.0</v>
      </c>
      <c r="N9" s="7">
        <v>14.0</v>
      </c>
      <c r="O9" s="7">
        <v>1.0</v>
      </c>
      <c r="P9" s="7">
        <v>5.0</v>
      </c>
      <c r="Q9" s="7">
        <v>21.0</v>
      </c>
      <c r="R9" s="7">
        <v>9.0</v>
      </c>
      <c r="S9" s="7">
        <v>9.0</v>
      </c>
      <c r="T9" s="7">
        <v>11.0</v>
      </c>
      <c r="U9" s="7">
        <v>1.0</v>
      </c>
      <c r="V9" s="7">
        <v>3.0</v>
      </c>
      <c r="W9" s="7">
        <v>21.0</v>
      </c>
      <c r="X9" s="7">
        <v>9.0</v>
      </c>
      <c r="Y9" s="7">
        <v>9.0</v>
      </c>
      <c r="Z9" s="7">
        <v>11.0</v>
      </c>
      <c r="AA9" s="7" t="s">
        <v>54</v>
      </c>
      <c r="AB9" s="7" t="s">
        <v>54</v>
      </c>
      <c r="AC9" s="7" t="s">
        <v>54</v>
      </c>
      <c r="AD9" s="7" t="s">
        <v>53</v>
      </c>
      <c r="AE9" s="7" t="s">
        <v>53</v>
      </c>
      <c r="AF9" s="7" t="s">
        <v>53</v>
      </c>
      <c r="AG9" s="7" t="s">
        <v>55</v>
      </c>
      <c r="AH9" s="7" t="s">
        <v>54</v>
      </c>
      <c r="AI9" s="7" t="s">
        <v>54</v>
      </c>
      <c r="AJ9" s="7" t="s">
        <v>54</v>
      </c>
      <c r="AK9" s="7">
        <v>56.0</v>
      </c>
      <c r="AL9" s="7" t="s">
        <v>62</v>
      </c>
      <c r="AM9" s="7" t="s">
        <v>53</v>
      </c>
      <c r="AN9" s="7" t="s">
        <v>55</v>
      </c>
      <c r="AO9" s="7" t="s">
        <v>53</v>
      </c>
      <c r="AP9" s="7" t="s">
        <v>55</v>
      </c>
      <c r="AQ9" s="7" t="s">
        <v>53</v>
      </c>
      <c r="AR9" s="7" t="s">
        <v>53</v>
      </c>
      <c r="AS9" s="7" t="s">
        <v>53</v>
      </c>
      <c r="AT9" s="7" t="s">
        <v>53</v>
      </c>
      <c r="AU9" s="8" t="s">
        <v>66</v>
      </c>
      <c r="AV9" s="7" t="s">
        <v>71</v>
      </c>
      <c r="AW9" s="7" t="s">
        <v>77</v>
      </c>
    </row>
    <row r="10">
      <c r="A10" s="7" t="s">
        <v>78</v>
      </c>
      <c r="B10" s="7" t="s">
        <v>70</v>
      </c>
      <c r="C10" s="7">
        <v>5.0</v>
      </c>
      <c r="D10" s="7">
        <v>8.0</v>
      </c>
      <c r="E10" s="7">
        <v>21.0</v>
      </c>
      <c r="F10" s="7">
        <v>9.0</v>
      </c>
      <c r="G10" s="7">
        <v>7.0</v>
      </c>
      <c r="H10" s="7">
        <v>9.0</v>
      </c>
      <c r="I10" s="7">
        <v>4.0</v>
      </c>
      <c r="J10" s="7">
        <v>13.0</v>
      </c>
      <c r="K10" s="7">
        <v>21.0</v>
      </c>
      <c r="L10" s="7">
        <v>9.0</v>
      </c>
      <c r="M10" s="7">
        <v>8.0</v>
      </c>
      <c r="N10" s="7">
        <v>15.0</v>
      </c>
      <c r="O10" s="7">
        <v>1.0</v>
      </c>
      <c r="P10" s="7">
        <v>5.0</v>
      </c>
      <c r="Q10" s="7">
        <v>21.0</v>
      </c>
      <c r="R10" s="7">
        <v>9.0</v>
      </c>
      <c r="S10" s="7">
        <v>8.0</v>
      </c>
      <c r="T10" s="7">
        <v>9.0</v>
      </c>
      <c r="U10" s="7">
        <v>1.0</v>
      </c>
      <c r="V10" s="7">
        <v>2.0</v>
      </c>
      <c r="W10" s="7">
        <v>21.0</v>
      </c>
      <c r="X10" s="7">
        <v>9.0</v>
      </c>
      <c r="Y10" s="7">
        <v>8.0</v>
      </c>
      <c r="Z10" s="7">
        <v>12.0</v>
      </c>
      <c r="AA10" s="7" t="s">
        <v>53</v>
      </c>
      <c r="AB10" s="7" t="s">
        <v>53</v>
      </c>
      <c r="AC10" s="7" t="s">
        <v>53</v>
      </c>
      <c r="AD10" s="7" t="s">
        <v>55</v>
      </c>
      <c r="AE10" s="7" t="s">
        <v>53</v>
      </c>
      <c r="AF10" s="7" t="s">
        <v>55</v>
      </c>
      <c r="AG10" s="7" t="s">
        <v>55</v>
      </c>
      <c r="AH10" s="7" t="s">
        <v>53</v>
      </c>
      <c r="AI10" s="7" t="s">
        <v>53</v>
      </c>
      <c r="AJ10" s="7" t="s">
        <v>53</v>
      </c>
      <c r="AK10" s="7">
        <v>103.0</v>
      </c>
      <c r="AL10" s="7" t="s">
        <v>56</v>
      </c>
      <c r="AM10" s="7" t="s">
        <v>54</v>
      </c>
      <c r="AN10" s="7" t="s">
        <v>53</v>
      </c>
      <c r="AO10" s="7" t="s">
        <v>53</v>
      </c>
      <c r="AP10" s="7" t="s">
        <v>55</v>
      </c>
      <c r="AQ10" s="7" t="s">
        <v>53</v>
      </c>
      <c r="AR10" s="7" t="s">
        <v>53</v>
      </c>
      <c r="AS10" s="7" t="s">
        <v>53</v>
      </c>
      <c r="AT10" s="7" t="s">
        <v>55</v>
      </c>
      <c r="AU10" s="8" t="s">
        <v>79</v>
      </c>
      <c r="AV10" s="7" t="s">
        <v>80</v>
      </c>
      <c r="AW10" s="7" t="s">
        <v>81</v>
      </c>
    </row>
    <row r="11">
      <c r="A11" s="7" t="s">
        <v>82</v>
      </c>
      <c r="B11" s="7" t="s">
        <v>70</v>
      </c>
      <c r="C11" s="7">
        <v>5.0</v>
      </c>
      <c r="D11" s="7">
        <v>8.0</v>
      </c>
      <c r="E11" s="7">
        <v>21.0</v>
      </c>
      <c r="F11" s="7">
        <v>10.0</v>
      </c>
      <c r="G11" s="7">
        <v>9.0</v>
      </c>
      <c r="H11" s="7">
        <v>11.0</v>
      </c>
      <c r="I11" s="7">
        <v>5.0</v>
      </c>
      <c r="J11" s="7">
        <v>13.0</v>
      </c>
      <c r="K11" s="7">
        <v>21.0</v>
      </c>
      <c r="L11" s="7">
        <v>9.0</v>
      </c>
      <c r="M11" s="7">
        <v>9.0</v>
      </c>
      <c r="N11" s="7">
        <v>17.0</v>
      </c>
      <c r="O11" s="7">
        <v>1.0</v>
      </c>
      <c r="P11" s="7">
        <v>4.0</v>
      </c>
      <c r="Q11" s="7">
        <v>21.0</v>
      </c>
      <c r="R11" s="7">
        <v>9.0</v>
      </c>
      <c r="S11" s="7">
        <v>9.0</v>
      </c>
      <c r="T11" s="7">
        <v>12.0</v>
      </c>
      <c r="U11" s="7">
        <v>1.0</v>
      </c>
      <c r="V11" s="7">
        <v>2.0</v>
      </c>
      <c r="W11" s="7">
        <v>21.0</v>
      </c>
      <c r="X11" s="7">
        <v>9.0</v>
      </c>
      <c r="Y11" s="7">
        <v>9.0</v>
      </c>
      <c r="Z11" s="7">
        <v>14.0</v>
      </c>
      <c r="AA11" s="7" t="s">
        <v>54</v>
      </c>
      <c r="AB11" s="7" t="s">
        <v>54</v>
      </c>
      <c r="AC11" s="7" t="s">
        <v>54</v>
      </c>
      <c r="AD11" s="7" t="s">
        <v>53</v>
      </c>
      <c r="AE11" s="7" t="s">
        <v>54</v>
      </c>
      <c r="AF11" s="7" t="s">
        <v>53</v>
      </c>
      <c r="AG11" s="7" t="s">
        <v>53</v>
      </c>
      <c r="AH11" s="7" t="s">
        <v>53</v>
      </c>
      <c r="AI11" s="7" t="s">
        <v>53</v>
      </c>
      <c r="AJ11" s="7" t="s">
        <v>54</v>
      </c>
      <c r="AK11" s="7">
        <v>52.0</v>
      </c>
      <c r="AL11" s="7" t="s">
        <v>56</v>
      </c>
      <c r="AM11" s="7" t="s">
        <v>54</v>
      </c>
      <c r="AN11" s="7" t="s">
        <v>54</v>
      </c>
      <c r="AO11" s="7" t="s">
        <v>53</v>
      </c>
      <c r="AP11" s="7" t="s">
        <v>54</v>
      </c>
      <c r="AQ11" s="7" t="s">
        <v>53</v>
      </c>
      <c r="AR11" s="7" t="s">
        <v>54</v>
      </c>
      <c r="AS11" s="7" t="s">
        <v>53</v>
      </c>
      <c r="AT11" s="7" t="s">
        <v>55</v>
      </c>
      <c r="AU11" s="8" t="s">
        <v>79</v>
      </c>
      <c r="AV11" s="7" t="s">
        <v>83</v>
      </c>
      <c r="AW11" s="7" t="s">
        <v>84</v>
      </c>
    </row>
    <row r="12">
      <c r="A12" s="7" t="s">
        <v>85</v>
      </c>
      <c r="B12" s="7" t="s">
        <v>70</v>
      </c>
      <c r="C12" s="7">
        <v>5.0</v>
      </c>
      <c r="D12" s="7">
        <v>8.0</v>
      </c>
      <c r="E12" s="7">
        <v>19.0</v>
      </c>
      <c r="F12" s="7">
        <v>9.0</v>
      </c>
      <c r="G12" s="7">
        <v>10.0</v>
      </c>
      <c r="H12" s="7">
        <v>11.0</v>
      </c>
      <c r="I12" s="7">
        <v>5.0</v>
      </c>
      <c r="J12" s="7">
        <v>13.0</v>
      </c>
      <c r="K12" s="7">
        <v>19.0</v>
      </c>
      <c r="L12" s="7">
        <v>9.0</v>
      </c>
      <c r="M12" s="7">
        <v>10.0</v>
      </c>
      <c r="N12" s="7">
        <v>13.0</v>
      </c>
      <c r="O12" s="7">
        <v>1.0</v>
      </c>
      <c r="P12" s="7">
        <v>5.0</v>
      </c>
      <c r="Q12" s="7">
        <v>19.0</v>
      </c>
      <c r="R12" s="7">
        <v>9.0</v>
      </c>
      <c r="S12" s="7">
        <v>10.0</v>
      </c>
      <c r="T12" s="7">
        <v>10.0</v>
      </c>
      <c r="U12" s="7">
        <v>1.0</v>
      </c>
      <c r="V12" s="7">
        <v>3.0</v>
      </c>
      <c r="W12" s="7">
        <v>19.0</v>
      </c>
      <c r="X12" s="7">
        <v>9.0</v>
      </c>
      <c r="Y12" s="7">
        <v>10.0</v>
      </c>
      <c r="Z12" s="7">
        <v>11.0</v>
      </c>
      <c r="AA12" s="7" t="s">
        <v>54</v>
      </c>
      <c r="AB12" s="7" t="s">
        <v>54</v>
      </c>
      <c r="AC12" s="7" t="s">
        <v>54</v>
      </c>
      <c r="AD12" s="7" t="s">
        <v>54</v>
      </c>
      <c r="AE12" s="7" t="s">
        <v>54</v>
      </c>
      <c r="AF12" s="7" t="s">
        <v>54</v>
      </c>
      <c r="AG12" s="7" t="s">
        <v>53</v>
      </c>
      <c r="AH12" s="7" t="s">
        <v>54</v>
      </c>
      <c r="AI12" s="7" t="s">
        <v>54</v>
      </c>
      <c r="AJ12" s="7" t="s">
        <v>54</v>
      </c>
      <c r="AK12" s="7">
        <v>113.0</v>
      </c>
      <c r="AL12" s="7" t="s">
        <v>56</v>
      </c>
      <c r="AM12" s="7" t="s">
        <v>54</v>
      </c>
      <c r="AN12" s="7" t="s">
        <v>54</v>
      </c>
      <c r="AO12" s="7" t="s">
        <v>54</v>
      </c>
      <c r="AP12" s="7" t="s">
        <v>54</v>
      </c>
      <c r="AQ12" s="7" t="s">
        <v>53</v>
      </c>
      <c r="AR12" s="7" t="s">
        <v>54</v>
      </c>
      <c r="AS12" s="7" t="s">
        <v>53</v>
      </c>
      <c r="AT12" s="7" t="s">
        <v>53</v>
      </c>
      <c r="AU12" s="8" t="s">
        <v>74</v>
      </c>
      <c r="AV12" s="7" t="s">
        <v>86</v>
      </c>
    </row>
    <row r="13">
      <c r="A13" s="7" t="s">
        <v>87</v>
      </c>
      <c r="B13" s="7" t="s">
        <v>70</v>
      </c>
      <c r="C13" s="7">
        <v>5.0</v>
      </c>
      <c r="D13" s="7">
        <v>8.0</v>
      </c>
      <c r="E13" s="7">
        <v>20.0</v>
      </c>
      <c r="F13" s="7">
        <v>8.0</v>
      </c>
      <c r="G13" s="7">
        <v>10.0</v>
      </c>
      <c r="H13" s="7">
        <v>10.0</v>
      </c>
      <c r="I13" s="7">
        <v>5.0</v>
      </c>
      <c r="J13" s="7">
        <v>12.0</v>
      </c>
      <c r="K13" s="7">
        <v>20.0</v>
      </c>
      <c r="L13" s="7">
        <v>8.0</v>
      </c>
      <c r="M13" s="7">
        <v>10.0</v>
      </c>
      <c r="N13" s="7">
        <v>12.0</v>
      </c>
      <c r="O13" s="7">
        <v>1.0</v>
      </c>
      <c r="P13" s="7">
        <v>4.0</v>
      </c>
      <c r="Q13" s="7">
        <v>20.0</v>
      </c>
      <c r="R13" s="7">
        <v>8.0</v>
      </c>
      <c r="S13" s="7">
        <v>10.0</v>
      </c>
      <c r="T13" s="7">
        <v>12.0</v>
      </c>
      <c r="U13" s="7">
        <v>1.0</v>
      </c>
      <c r="V13" s="7">
        <v>2.0</v>
      </c>
      <c r="W13" s="7">
        <v>20.0</v>
      </c>
      <c r="X13" s="7">
        <v>8.0</v>
      </c>
      <c r="Y13" s="7">
        <v>10.0</v>
      </c>
      <c r="Z13" s="7">
        <v>9.0</v>
      </c>
      <c r="AA13" s="7" t="s">
        <v>54</v>
      </c>
      <c r="AB13" s="7" t="s">
        <v>53</v>
      </c>
      <c r="AC13" s="7" t="s">
        <v>54</v>
      </c>
      <c r="AD13" s="7" t="s">
        <v>55</v>
      </c>
      <c r="AE13" s="7" t="s">
        <v>53</v>
      </c>
      <c r="AF13" s="7" t="s">
        <v>53</v>
      </c>
      <c r="AG13" s="7" t="s">
        <v>55</v>
      </c>
      <c r="AH13" s="7" t="s">
        <v>54</v>
      </c>
      <c r="AI13" s="7" t="s">
        <v>53</v>
      </c>
      <c r="AJ13" s="7" t="s">
        <v>53</v>
      </c>
      <c r="AK13" s="7">
        <v>113.0</v>
      </c>
      <c r="AL13" s="7" t="s">
        <v>56</v>
      </c>
      <c r="AM13" s="7" t="s">
        <v>53</v>
      </c>
      <c r="AN13" s="7" t="s">
        <v>53</v>
      </c>
      <c r="AO13" s="7" t="s">
        <v>55</v>
      </c>
      <c r="AP13" s="7" t="s">
        <v>55</v>
      </c>
      <c r="AQ13" s="7" t="s">
        <v>53</v>
      </c>
      <c r="AR13" s="7" t="s">
        <v>55</v>
      </c>
      <c r="AS13" s="7" t="s">
        <v>55</v>
      </c>
      <c r="AT13" s="7" t="s">
        <v>55</v>
      </c>
      <c r="AU13" s="8" t="s">
        <v>66</v>
      </c>
      <c r="AV13" s="7" t="s">
        <v>88</v>
      </c>
      <c r="AW13" s="7" t="s">
        <v>89</v>
      </c>
    </row>
    <row r="14">
      <c r="A14" s="7" t="s">
        <v>90</v>
      </c>
      <c r="B14" s="7" t="s">
        <v>91</v>
      </c>
      <c r="C14" s="7">
        <v>5.0</v>
      </c>
      <c r="D14" s="7">
        <v>8.0</v>
      </c>
      <c r="E14" s="7">
        <v>21.0</v>
      </c>
      <c r="F14" s="7">
        <v>10.0</v>
      </c>
      <c r="G14" s="7">
        <v>9.0</v>
      </c>
      <c r="H14" s="7">
        <v>15.0</v>
      </c>
      <c r="I14" s="7">
        <v>5.0</v>
      </c>
      <c r="J14" s="7">
        <v>13.0</v>
      </c>
      <c r="K14" s="7">
        <v>21.0</v>
      </c>
      <c r="L14" s="7">
        <v>10.0</v>
      </c>
      <c r="M14" s="7">
        <v>9.0</v>
      </c>
      <c r="N14" s="7">
        <v>18.0</v>
      </c>
      <c r="O14" s="7">
        <v>1.0</v>
      </c>
      <c r="P14" s="7">
        <v>5.0</v>
      </c>
      <c r="Q14" s="7">
        <v>21.0</v>
      </c>
      <c r="R14" s="7">
        <v>10.0</v>
      </c>
      <c r="S14" s="7">
        <v>9.0</v>
      </c>
      <c r="T14" s="7">
        <v>12.0</v>
      </c>
      <c r="U14" s="7">
        <v>1.0</v>
      </c>
      <c r="V14" s="7">
        <v>3.0</v>
      </c>
      <c r="W14" s="7">
        <v>21.0</v>
      </c>
      <c r="X14" s="7">
        <v>10.0</v>
      </c>
      <c r="Y14" s="7">
        <v>9.0</v>
      </c>
      <c r="Z14" s="7">
        <v>14.0</v>
      </c>
      <c r="AA14" s="7" t="s">
        <v>54</v>
      </c>
      <c r="AB14" s="7" t="s">
        <v>53</v>
      </c>
      <c r="AC14" s="7" t="s">
        <v>54</v>
      </c>
      <c r="AD14" s="7" t="s">
        <v>53</v>
      </c>
      <c r="AE14" s="7" t="s">
        <v>54</v>
      </c>
      <c r="AF14" s="7" t="s">
        <v>53</v>
      </c>
      <c r="AG14" s="7" t="s">
        <v>53</v>
      </c>
      <c r="AH14" s="7" t="s">
        <v>54</v>
      </c>
      <c r="AI14" s="7" t="s">
        <v>54</v>
      </c>
      <c r="AJ14" s="7" t="s">
        <v>54</v>
      </c>
      <c r="AK14" s="7">
        <v>112.0</v>
      </c>
      <c r="AL14" s="7" t="s">
        <v>92</v>
      </c>
      <c r="AM14" s="7" t="s">
        <v>54</v>
      </c>
      <c r="AN14" s="7" t="s">
        <v>54</v>
      </c>
      <c r="AO14" s="7" t="s">
        <v>53</v>
      </c>
      <c r="AP14" s="7" t="s">
        <v>54</v>
      </c>
      <c r="AQ14" s="7" t="s">
        <v>53</v>
      </c>
      <c r="AR14" s="7" t="s">
        <v>54</v>
      </c>
      <c r="AS14" s="7" t="s">
        <v>53</v>
      </c>
      <c r="AT14" s="7" t="s">
        <v>53</v>
      </c>
      <c r="AU14" s="8" t="s">
        <v>74</v>
      </c>
      <c r="AV14" s="7" t="s">
        <v>93</v>
      </c>
      <c r="AW14" s="7" t="s">
        <v>94</v>
      </c>
    </row>
    <row r="15">
      <c r="A15" s="7" t="s">
        <v>95</v>
      </c>
      <c r="B15" s="7" t="s">
        <v>91</v>
      </c>
      <c r="F15" s="9"/>
      <c r="G15" s="9"/>
      <c r="L15" s="9"/>
      <c r="M15" s="9"/>
      <c r="R15" s="9"/>
      <c r="S15" s="9"/>
      <c r="X15" s="9"/>
      <c r="Y15" s="9"/>
      <c r="AA15" s="9"/>
      <c r="AB15" s="9"/>
      <c r="AC15" s="9"/>
      <c r="AD15" s="9"/>
      <c r="AE15" s="9"/>
      <c r="AF15" s="9"/>
      <c r="AG15" s="9"/>
      <c r="AH15" s="9"/>
      <c r="AI15" s="9"/>
      <c r="AJ15" s="9"/>
      <c r="AL15" s="9"/>
      <c r="AM15" s="9"/>
      <c r="AN15" s="9"/>
      <c r="AO15" s="9"/>
      <c r="AP15" s="9"/>
      <c r="AQ15" s="9"/>
      <c r="AR15" s="9"/>
      <c r="AS15" s="9"/>
      <c r="AT15" s="9"/>
      <c r="AU15" s="10"/>
    </row>
    <row r="16">
      <c r="A16" s="7" t="s">
        <v>96</v>
      </c>
      <c r="B16" s="7" t="s">
        <v>91</v>
      </c>
      <c r="C16" s="7">
        <v>5.0</v>
      </c>
      <c r="D16" s="7">
        <v>8.0</v>
      </c>
      <c r="E16" s="7">
        <v>21.0</v>
      </c>
      <c r="F16" s="7">
        <v>9.0</v>
      </c>
      <c r="G16" s="7">
        <v>10.0</v>
      </c>
      <c r="H16" s="7">
        <v>17.0</v>
      </c>
      <c r="I16" s="7">
        <v>5.0</v>
      </c>
      <c r="J16" s="7">
        <v>13.0</v>
      </c>
      <c r="K16" s="7">
        <v>21.0</v>
      </c>
      <c r="L16" s="7">
        <v>9.0</v>
      </c>
      <c r="M16" s="7">
        <v>10.0</v>
      </c>
      <c r="N16" s="7">
        <v>18.0</v>
      </c>
      <c r="O16" s="7">
        <v>1.0</v>
      </c>
      <c r="P16" s="7">
        <v>5.0</v>
      </c>
      <c r="Q16" s="7">
        <v>21.0</v>
      </c>
      <c r="R16" s="7">
        <v>10.0</v>
      </c>
      <c r="S16" s="7">
        <v>10.0</v>
      </c>
      <c r="T16" s="7">
        <v>14.0</v>
      </c>
      <c r="U16" s="7">
        <v>1.0</v>
      </c>
      <c r="V16" s="7">
        <v>3.0</v>
      </c>
      <c r="W16" s="7">
        <v>21.0</v>
      </c>
      <c r="X16" s="7">
        <v>9.0</v>
      </c>
      <c r="Y16" s="7">
        <v>10.0</v>
      </c>
      <c r="Z16" s="7">
        <v>14.0</v>
      </c>
      <c r="AA16" s="7" t="s">
        <v>54</v>
      </c>
      <c r="AB16" s="7" t="s">
        <v>54</v>
      </c>
      <c r="AC16" s="7" t="s">
        <v>54</v>
      </c>
      <c r="AD16" s="7" t="s">
        <v>54</v>
      </c>
      <c r="AE16" s="7" t="s">
        <v>54</v>
      </c>
      <c r="AF16" s="7" t="s">
        <v>54</v>
      </c>
      <c r="AG16" s="7" t="s">
        <v>54</v>
      </c>
      <c r="AH16" s="7" t="s">
        <v>54</v>
      </c>
      <c r="AI16" s="7" t="s">
        <v>54</v>
      </c>
      <c r="AJ16" s="7" t="s">
        <v>54</v>
      </c>
      <c r="AK16" s="7">
        <v>122.0</v>
      </c>
      <c r="AL16" s="7" t="s">
        <v>56</v>
      </c>
      <c r="AM16" s="7" t="s">
        <v>54</v>
      </c>
      <c r="AN16" s="7" t="s">
        <v>54</v>
      </c>
      <c r="AO16" s="7" t="s">
        <v>53</v>
      </c>
      <c r="AP16" s="7" t="s">
        <v>54</v>
      </c>
      <c r="AQ16" s="7" t="s">
        <v>54</v>
      </c>
      <c r="AR16" s="7" t="s">
        <v>54</v>
      </c>
      <c r="AS16" s="7" t="s">
        <v>54</v>
      </c>
      <c r="AT16" s="7" t="s">
        <v>53</v>
      </c>
      <c r="AU16" s="8" t="s">
        <v>74</v>
      </c>
      <c r="AV16" s="7" t="s">
        <v>97</v>
      </c>
    </row>
    <row r="17">
      <c r="A17" s="7" t="s">
        <v>98</v>
      </c>
      <c r="B17" s="7" t="s">
        <v>91</v>
      </c>
      <c r="C17" s="7">
        <v>4.0</v>
      </c>
      <c r="D17" s="7">
        <v>8.0</v>
      </c>
      <c r="E17" s="7">
        <v>21.0</v>
      </c>
      <c r="F17" s="7">
        <v>9.0</v>
      </c>
      <c r="G17" s="7">
        <v>7.0</v>
      </c>
      <c r="H17" s="7">
        <v>7.0</v>
      </c>
      <c r="I17" s="7">
        <v>4.0</v>
      </c>
      <c r="J17" s="7">
        <v>11.0</v>
      </c>
      <c r="K17" s="7">
        <v>21.0</v>
      </c>
      <c r="L17" s="7">
        <v>8.0</v>
      </c>
      <c r="M17" s="7">
        <v>6.0</v>
      </c>
      <c r="N17" s="7">
        <v>9.0</v>
      </c>
      <c r="O17" s="7">
        <v>1.0</v>
      </c>
      <c r="P17" s="7">
        <v>5.0</v>
      </c>
      <c r="Q17" s="7">
        <v>21.0</v>
      </c>
      <c r="R17" s="7">
        <v>8.0</v>
      </c>
      <c r="S17" s="7">
        <v>6.0</v>
      </c>
      <c r="T17" s="7">
        <v>7.0</v>
      </c>
      <c r="U17" s="7">
        <v>1.0</v>
      </c>
      <c r="V17" s="7">
        <v>2.0</v>
      </c>
      <c r="W17" s="7">
        <v>21.0</v>
      </c>
      <c r="X17" s="7">
        <v>7.0</v>
      </c>
      <c r="Y17" s="7">
        <v>6.0</v>
      </c>
      <c r="Z17" s="7">
        <v>11.0</v>
      </c>
      <c r="AA17" s="7" t="s">
        <v>55</v>
      </c>
      <c r="AB17" s="7" t="s">
        <v>53</v>
      </c>
      <c r="AC17" s="7" t="s">
        <v>53</v>
      </c>
      <c r="AD17" s="7" t="s">
        <v>55</v>
      </c>
      <c r="AE17" s="7" t="s">
        <v>53</v>
      </c>
      <c r="AF17" s="7" t="s">
        <v>55</v>
      </c>
      <c r="AG17" s="7" t="s">
        <v>55</v>
      </c>
      <c r="AH17" s="7" t="s">
        <v>55</v>
      </c>
      <c r="AI17" s="7" t="s">
        <v>55</v>
      </c>
      <c r="AJ17" s="7" t="s">
        <v>53</v>
      </c>
      <c r="AK17" s="7">
        <v>46.0</v>
      </c>
      <c r="AL17" s="7" t="s">
        <v>62</v>
      </c>
      <c r="AM17" s="7" t="s">
        <v>53</v>
      </c>
      <c r="AN17" s="7" t="s">
        <v>53</v>
      </c>
      <c r="AO17" s="7" t="s">
        <v>55</v>
      </c>
      <c r="AP17" s="7" t="s">
        <v>53</v>
      </c>
      <c r="AQ17" s="7" t="s">
        <v>53</v>
      </c>
      <c r="AR17" s="7" t="s">
        <v>55</v>
      </c>
      <c r="AS17" s="7" t="s">
        <v>55</v>
      </c>
      <c r="AT17" s="7" t="s">
        <v>55</v>
      </c>
      <c r="AU17" s="8" t="s">
        <v>57</v>
      </c>
      <c r="AV17" s="7" t="s">
        <v>99</v>
      </c>
      <c r="AW17" s="7" t="s">
        <v>100</v>
      </c>
    </row>
    <row r="18">
      <c r="A18" s="7" t="s">
        <v>101</v>
      </c>
      <c r="B18" s="7" t="s">
        <v>91</v>
      </c>
      <c r="C18" s="7">
        <v>4.0</v>
      </c>
      <c r="D18" s="7">
        <v>8.0</v>
      </c>
      <c r="E18" s="7">
        <v>21.0</v>
      </c>
      <c r="F18" s="7">
        <v>10.0</v>
      </c>
      <c r="G18" s="7">
        <v>7.0</v>
      </c>
      <c r="H18" s="7">
        <v>14.0</v>
      </c>
      <c r="I18" s="7">
        <v>5.0</v>
      </c>
      <c r="J18" s="7">
        <v>11.0</v>
      </c>
      <c r="K18" s="7">
        <v>21.0</v>
      </c>
      <c r="L18" s="7">
        <v>9.0</v>
      </c>
      <c r="M18" s="7">
        <v>6.0</v>
      </c>
      <c r="N18" s="7">
        <v>14.0</v>
      </c>
      <c r="O18" s="7">
        <v>1.0</v>
      </c>
      <c r="P18" s="7">
        <v>4.0</v>
      </c>
      <c r="Q18" s="7">
        <v>21.0</v>
      </c>
      <c r="R18" s="7">
        <v>10.0</v>
      </c>
      <c r="S18" s="7">
        <v>6.0</v>
      </c>
      <c r="T18" s="7">
        <v>11.0</v>
      </c>
      <c r="U18" s="7">
        <v>1.0</v>
      </c>
      <c r="V18" s="7">
        <v>3.0</v>
      </c>
      <c r="W18" s="7">
        <v>21.0</v>
      </c>
      <c r="X18" s="7">
        <v>10.0</v>
      </c>
      <c r="Y18" s="7">
        <v>6.0</v>
      </c>
      <c r="Z18" s="7">
        <v>10.0</v>
      </c>
      <c r="AA18" s="7" t="s">
        <v>53</v>
      </c>
      <c r="AB18" s="7" t="s">
        <v>53</v>
      </c>
      <c r="AC18" s="7" t="s">
        <v>53</v>
      </c>
      <c r="AD18" s="7" t="s">
        <v>55</v>
      </c>
      <c r="AE18" s="7" t="s">
        <v>54</v>
      </c>
      <c r="AF18" s="7" t="s">
        <v>53</v>
      </c>
      <c r="AG18" s="7" t="s">
        <v>55</v>
      </c>
      <c r="AH18" s="7" t="s">
        <v>53</v>
      </c>
      <c r="AI18" s="7" t="s">
        <v>53</v>
      </c>
      <c r="AJ18" s="7" t="s">
        <v>54</v>
      </c>
      <c r="AK18" s="7">
        <v>107.0</v>
      </c>
      <c r="AL18" s="7" t="s">
        <v>92</v>
      </c>
      <c r="AM18" s="7" t="s">
        <v>53</v>
      </c>
      <c r="AN18" s="7" t="s">
        <v>53</v>
      </c>
      <c r="AO18" s="7" t="s">
        <v>53</v>
      </c>
      <c r="AP18" s="7" t="s">
        <v>55</v>
      </c>
      <c r="AQ18" s="7" t="s">
        <v>53</v>
      </c>
      <c r="AR18" s="7" t="s">
        <v>53</v>
      </c>
      <c r="AS18" s="7" t="s">
        <v>55</v>
      </c>
      <c r="AT18" s="7" t="s">
        <v>55</v>
      </c>
      <c r="AU18" s="8" t="s">
        <v>57</v>
      </c>
      <c r="AV18" s="7" t="s">
        <v>102</v>
      </c>
      <c r="AW18" s="7" t="s">
        <v>103</v>
      </c>
    </row>
    <row r="19">
      <c r="A19" s="7" t="s">
        <v>104</v>
      </c>
      <c r="B19" s="7" t="s">
        <v>91</v>
      </c>
      <c r="C19" s="7">
        <v>1.0</v>
      </c>
      <c r="D19" s="7">
        <v>6.0</v>
      </c>
      <c r="E19" s="7">
        <v>15.0</v>
      </c>
      <c r="F19" s="7">
        <v>10.0</v>
      </c>
      <c r="G19" s="7">
        <v>6.0</v>
      </c>
      <c r="H19" s="7">
        <v>11.0</v>
      </c>
      <c r="L19" s="9"/>
      <c r="M19" s="9"/>
      <c r="R19" s="9"/>
      <c r="S19" s="9"/>
      <c r="X19" s="9"/>
      <c r="Y19" s="9"/>
      <c r="AA19" s="9"/>
      <c r="AB19" s="9"/>
      <c r="AC19" s="9"/>
      <c r="AD19" s="9"/>
      <c r="AE19" s="9"/>
      <c r="AF19" s="9"/>
      <c r="AG19" s="9"/>
      <c r="AH19" s="9"/>
      <c r="AI19" s="9"/>
      <c r="AJ19" s="9"/>
      <c r="AL19" s="9"/>
      <c r="AM19" s="9"/>
      <c r="AN19" s="9"/>
      <c r="AO19" s="9"/>
      <c r="AP19" s="9"/>
      <c r="AQ19" s="9"/>
      <c r="AR19" s="9"/>
      <c r="AS19" s="9"/>
      <c r="AT19" s="9"/>
      <c r="AU19" s="10"/>
    </row>
    <row r="20">
      <c r="B20" s="9"/>
      <c r="F20" s="9"/>
      <c r="G20" s="9"/>
      <c r="L20" s="9"/>
      <c r="M20" s="9"/>
      <c r="R20" s="9"/>
      <c r="S20" s="9"/>
      <c r="X20" s="9"/>
      <c r="Y20" s="9"/>
      <c r="AA20" s="9"/>
      <c r="AB20" s="9"/>
      <c r="AC20" s="9"/>
      <c r="AD20" s="9"/>
      <c r="AE20" s="9"/>
      <c r="AF20" s="9"/>
      <c r="AG20" s="9"/>
      <c r="AH20" s="9"/>
      <c r="AI20" s="9"/>
      <c r="AJ20" s="9"/>
      <c r="AL20" s="9"/>
      <c r="AM20" s="9"/>
      <c r="AN20" s="9"/>
      <c r="AO20" s="9"/>
      <c r="AP20" s="9"/>
      <c r="AQ20" s="9"/>
      <c r="AR20" s="9"/>
      <c r="AS20" s="9"/>
      <c r="AT20" s="9"/>
      <c r="AU20" s="10"/>
    </row>
    <row r="21">
      <c r="B21" s="9"/>
      <c r="F21" s="9"/>
      <c r="G21" s="9"/>
      <c r="L21" s="9"/>
      <c r="M21" s="9"/>
      <c r="R21" s="9"/>
      <c r="S21" s="9"/>
      <c r="X21" s="9"/>
      <c r="Y21" s="9"/>
      <c r="AA21" s="9"/>
      <c r="AB21" s="9"/>
      <c r="AC21" s="9"/>
      <c r="AD21" s="9"/>
      <c r="AE21" s="9"/>
      <c r="AF21" s="9"/>
      <c r="AG21" s="9"/>
      <c r="AH21" s="9"/>
      <c r="AI21" s="9"/>
      <c r="AJ21" s="9"/>
      <c r="AL21" s="9"/>
      <c r="AM21" s="9"/>
      <c r="AN21" s="9"/>
      <c r="AO21" s="9"/>
      <c r="AP21" s="9"/>
      <c r="AQ21" s="9"/>
      <c r="AR21" s="9"/>
      <c r="AS21" s="9"/>
      <c r="AT21" s="9"/>
      <c r="AU21" s="10"/>
    </row>
    <row r="22">
      <c r="B22" s="9"/>
      <c r="F22" s="9"/>
      <c r="G22" s="9"/>
      <c r="L22" s="9"/>
      <c r="M22" s="9"/>
      <c r="R22" s="9"/>
      <c r="S22" s="9"/>
      <c r="X22" s="9"/>
      <c r="Y22" s="9"/>
      <c r="AA22" s="9"/>
      <c r="AB22" s="9"/>
      <c r="AC22" s="9"/>
      <c r="AD22" s="9"/>
      <c r="AE22" s="9"/>
      <c r="AF22" s="9"/>
      <c r="AG22" s="9"/>
      <c r="AH22" s="9"/>
      <c r="AI22" s="9"/>
      <c r="AJ22" s="9"/>
      <c r="AL22" s="9"/>
      <c r="AM22" s="9"/>
      <c r="AN22" s="9"/>
      <c r="AO22" s="9"/>
      <c r="AP22" s="9"/>
      <c r="AQ22" s="9"/>
      <c r="AR22" s="9"/>
      <c r="AS22" s="9"/>
      <c r="AT22" s="9"/>
      <c r="AU22" s="10"/>
    </row>
    <row r="23">
      <c r="B23" s="9"/>
      <c r="F23" s="9"/>
      <c r="G23" s="9"/>
      <c r="L23" s="9"/>
      <c r="M23" s="9"/>
      <c r="R23" s="9"/>
      <c r="S23" s="9"/>
      <c r="X23" s="9"/>
      <c r="Y23" s="9"/>
      <c r="AA23" s="9"/>
      <c r="AB23" s="9"/>
      <c r="AC23" s="9"/>
      <c r="AD23" s="9"/>
      <c r="AE23" s="9"/>
      <c r="AF23" s="9"/>
      <c r="AG23" s="9"/>
      <c r="AH23" s="9"/>
      <c r="AI23" s="9"/>
      <c r="AJ23" s="9"/>
      <c r="AL23" s="9"/>
      <c r="AM23" s="9"/>
      <c r="AN23" s="9"/>
      <c r="AO23" s="9"/>
      <c r="AP23" s="9"/>
      <c r="AQ23" s="9"/>
      <c r="AR23" s="9"/>
      <c r="AS23" s="9"/>
      <c r="AT23" s="9"/>
      <c r="AU23" s="10"/>
    </row>
    <row r="24">
      <c r="B24" s="9"/>
      <c r="F24" s="9"/>
      <c r="G24" s="9"/>
      <c r="L24" s="9"/>
      <c r="M24" s="9"/>
      <c r="R24" s="9"/>
      <c r="S24" s="9"/>
      <c r="X24" s="9"/>
      <c r="Y24" s="9"/>
      <c r="AA24" s="9"/>
      <c r="AB24" s="9"/>
      <c r="AC24" s="9"/>
      <c r="AD24" s="9"/>
      <c r="AE24" s="9"/>
      <c r="AF24" s="9"/>
      <c r="AG24" s="9"/>
      <c r="AH24" s="9"/>
      <c r="AI24" s="9"/>
      <c r="AJ24" s="9"/>
      <c r="AL24" s="9"/>
      <c r="AM24" s="9"/>
      <c r="AN24" s="9"/>
      <c r="AO24" s="9"/>
      <c r="AP24" s="9"/>
      <c r="AQ24" s="9"/>
      <c r="AR24" s="9"/>
      <c r="AS24" s="9"/>
      <c r="AT24" s="9"/>
      <c r="AU24" s="10"/>
    </row>
    <row r="25">
      <c r="B25" s="9"/>
      <c r="F25" s="9"/>
      <c r="G25" s="9"/>
      <c r="L25" s="9"/>
      <c r="M25" s="9"/>
      <c r="R25" s="9"/>
      <c r="S25" s="9"/>
      <c r="X25" s="9"/>
      <c r="Y25" s="9"/>
      <c r="AA25" s="9"/>
      <c r="AB25" s="9"/>
      <c r="AC25" s="9"/>
      <c r="AD25" s="9"/>
      <c r="AE25" s="9"/>
      <c r="AF25" s="9"/>
      <c r="AG25" s="9"/>
      <c r="AH25" s="9"/>
      <c r="AI25" s="9"/>
      <c r="AJ25" s="9"/>
      <c r="AL25" s="9"/>
      <c r="AM25" s="9"/>
      <c r="AN25" s="9"/>
      <c r="AO25" s="9"/>
      <c r="AP25" s="9"/>
      <c r="AQ25" s="9"/>
      <c r="AR25" s="9"/>
      <c r="AS25" s="9"/>
      <c r="AT25" s="9"/>
      <c r="AU25" s="10"/>
    </row>
    <row r="26">
      <c r="B26" s="9"/>
      <c r="F26" s="9"/>
      <c r="G26" s="9"/>
      <c r="L26" s="9"/>
      <c r="M26" s="9"/>
      <c r="R26" s="9"/>
      <c r="S26" s="9"/>
      <c r="X26" s="9"/>
      <c r="Y26" s="9"/>
      <c r="AA26" s="9"/>
      <c r="AB26" s="9"/>
      <c r="AC26" s="9"/>
      <c r="AD26" s="9"/>
      <c r="AE26" s="9"/>
      <c r="AF26" s="9"/>
      <c r="AG26" s="9"/>
      <c r="AH26" s="9"/>
      <c r="AI26" s="9"/>
      <c r="AJ26" s="9"/>
      <c r="AL26" s="9"/>
      <c r="AM26" s="9"/>
      <c r="AN26" s="9"/>
      <c r="AO26" s="9"/>
      <c r="AP26" s="9"/>
      <c r="AQ26" s="9"/>
      <c r="AR26" s="9"/>
      <c r="AS26" s="9"/>
      <c r="AT26" s="9"/>
      <c r="AU26" s="10"/>
    </row>
    <row r="27">
      <c r="B27" s="9"/>
      <c r="F27" s="9"/>
      <c r="G27" s="9"/>
      <c r="L27" s="9"/>
      <c r="M27" s="9"/>
      <c r="R27" s="9"/>
      <c r="S27" s="9"/>
      <c r="X27" s="9"/>
      <c r="Y27" s="9"/>
      <c r="AA27" s="9"/>
      <c r="AB27" s="9"/>
      <c r="AC27" s="9"/>
      <c r="AD27" s="9"/>
      <c r="AE27" s="9"/>
      <c r="AF27" s="9"/>
      <c r="AG27" s="9"/>
      <c r="AH27" s="9"/>
      <c r="AI27" s="9"/>
      <c r="AJ27" s="9"/>
      <c r="AL27" s="9"/>
      <c r="AM27" s="9"/>
      <c r="AN27" s="9"/>
      <c r="AO27" s="9"/>
      <c r="AP27" s="9"/>
      <c r="AQ27" s="9"/>
      <c r="AR27" s="9"/>
      <c r="AS27" s="9"/>
      <c r="AT27" s="9"/>
      <c r="AU27" s="10"/>
    </row>
    <row r="28">
      <c r="B28" s="9"/>
      <c r="F28" s="9"/>
      <c r="G28" s="9"/>
      <c r="L28" s="9"/>
      <c r="M28" s="9"/>
      <c r="R28" s="9"/>
      <c r="S28" s="9"/>
      <c r="X28" s="9"/>
      <c r="Y28" s="9"/>
      <c r="AA28" s="9"/>
      <c r="AB28" s="9"/>
      <c r="AC28" s="9"/>
      <c r="AD28" s="9"/>
      <c r="AE28" s="9"/>
      <c r="AF28" s="9"/>
      <c r="AG28" s="9"/>
      <c r="AH28" s="9"/>
      <c r="AI28" s="9"/>
      <c r="AJ28" s="9"/>
      <c r="AL28" s="9"/>
      <c r="AM28" s="9"/>
      <c r="AN28" s="9"/>
      <c r="AO28" s="9"/>
      <c r="AP28" s="9"/>
      <c r="AQ28" s="9"/>
      <c r="AR28" s="9"/>
      <c r="AS28" s="9"/>
      <c r="AT28" s="9"/>
      <c r="AU28" s="10"/>
    </row>
    <row r="29">
      <c r="B29" s="9"/>
      <c r="F29" s="9"/>
      <c r="G29" s="9"/>
      <c r="L29" s="9"/>
      <c r="M29" s="9"/>
      <c r="R29" s="9"/>
      <c r="S29" s="9"/>
      <c r="X29" s="9"/>
      <c r="Y29" s="9"/>
      <c r="AA29" s="9"/>
      <c r="AB29" s="9"/>
      <c r="AC29" s="9"/>
      <c r="AD29" s="9"/>
      <c r="AE29" s="9"/>
      <c r="AF29" s="9"/>
      <c r="AG29" s="9"/>
      <c r="AH29" s="9"/>
      <c r="AI29" s="9"/>
      <c r="AJ29" s="9"/>
      <c r="AL29" s="9"/>
      <c r="AM29" s="9"/>
      <c r="AN29" s="9"/>
      <c r="AO29" s="9"/>
      <c r="AP29" s="9"/>
      <c r="AQ29" s="9"/>
      <c r="AR29" s="9"/>
      <c r="AS29" s="9"/>
      <c r="AT29" s="9"/>
      <c r="AU29" s="10"/>
    </row>
    <row r="30">
      <c r="B30" s="9"/>
      <c r="F30" s="9"/>
      <c r="G30" s="9"/>
      <c r="L30" s="9"/>
      <c r="M30" s="9"/>
      <c r="R30" s="9"/>
      <c r="S30" s="9"/>
      <c r="X30" s="9"/>
      <c r="Y30" s="9"/>
      <c r="AA30" s="9"/>
      <c r="AB30" s="9"/>
      <c r="AC30" s="9"/>
      <c r="AD30" s="9"/>
      <c r="AE30" s="9"/>
      <c r="AF30" s="9"/>
      <c r="AG30" s="9"/>
      <c r="AH30" s="9"/>
      <c r="AI30" s="9"/>
      <c r="AJ30" s="9"/>
      <c r="AL30" s="9"/>
      <c r="AM30" s="9"/>
      <c r="AN30" s="9"/>
      <c r="AO30" s="9"/>
      <c r="AP30" s="9"/>
      <c r="AQ30" s="9"/>
      <c r="AR30" s="9"/>
      <c r="AS30" s="9"/>
      <c r="AT30" s="9"/>
      <c r="AU30" s="10"/>
    </row>
    <row r="31">
      <c r="B31" s="9"/>
      <c r="F31" s="9"/>
      <c r="G31" s="9"/>
      <c r="L31" s="9"/>
      <c r="M31" s="9"/>
      <c r="R31" s="9"/>
      <c r="S31" s="9"/>
      <c r="X31" s="9"/>
      <c r="Y31" s="9"/>
      <c r="AA31" s="9"/>
      <c r="AB31" s="9"/>
      <c r="AC31" s="9"/>
      <c r="AD31" s="9"/>
      <c r="AE31" s="9"/>
      <c r="AF31" s="9"/>
      <c r="AG31" s="9"/>
      <c r="AH31" s="9"/>
      <c r="AI31" s="9"/>
      <c r="AJ31" s="9"/>
      <c r="AL31" s="9"/>
      <c r="AM31" s="9"/>
      <c r="AN31" s="9"/>
      <c r="AO31" s="9"/>
      <c r="AP31" s="9"/>
      <c r="AQ31" s="9"/>
      <c r="AR31" s="9"/>
      <c r="AS31" s="9"/>
      <c r="AT31" s="9"/>
      <c r="AU31" s="10"/>
    </row>
    <row r="32">
      <c r="B32" s="9"/>
      <c r="F32" s="9"/>
      <c r="G32" s="9"/>
      <c r="L32" s="9"/>
      <c r="M32" s="9"/>
      <c r="R32" s="9"/>
      <c r="S32" s="9"/>
      <c r="X32" s="9"/>
      <c r="Y32" s="9"/>
      <c r="AA32" s="9"/>
      <c r="AB32" s="9"/>
      <c r="AC32" s="9"/>
      <c r="AD32" s="9"/>
      <c r="AE32" s="9"/>
      <c r="AF32" s="9"/>
      <c r="AG32" s="9"/>
      <c r="AH32" s="9"/>
      <c r="AI32" s="9"/>
      <c r="AJ32" s="9"/>
      <c r="AL32" s="9"/>
      <c r="AM32" s="9"/>
      <c r="AN32" s="9"/>
      <c r="AO32" s="9"/>
      <c r="AP32" s="9"/>
      <c r="AQ32" s="9"/>
      <c r="AR32" s="9"/>
      <c r="AS32" s="9"/>
      <c r="AT32" s="9"/>
      <c r="AU32" s="10"/>
    </row>
    <row r="33">
      <c r="B33" s="9"/>
      <c r="F33" s="9"/>
      <c r="G33" s="9"/>
      <c r="L33" s="9"/>
      <c r="M33" s="9"/>
      <c r="R33" s="9"/>
      <c r="S33" s="9"/>
      <c r="X33" s="9"/>
      <c r="Y33" s="9"/>
      <c r="AA33" s="9"/>
      <c r="AB33" s="9"/>
      <c r="AC33" s="9"/>
      <c r="AD33" s="9"/>
      <c r="AE33" s="9"/>
      <c r="AF33" s="9"/>
      <c r="AG33" s="9"/>
      <c r="AH33" s="9"/>
      <c r="AI33" s="9"/>
      <c r="AJ33" s="9"/>
      <c r="AL33" s="9"/>
      <c r="AM33" s="9"/>
      <c r="AN33" s="9"/>
      <c r="AO33" s="9"/>
      <c r="AP33" s="9"/>
      <c r="AQ33" s="9"/>
      <c r="AR33" s="9"/>
      <c r="AS33" s="9"/>
      <c r="AT33" s="9"/>
      <c r="AU33" s="10"/>
    </row>
    <row r="34">
      <c r="B34" s="9"/>
      <c r="F34" s="9"/>
      <c r="G34" s="9"/>
      <c r="L34" s="9"/>
      <c r="M34" s="9"/>
      <c r="R34" s="9"/>
      <c r="S34" s="9"/>
      <c r="X34" s="9"/>
      <c r="Y34" s="9"/>
      <c r="AA34" s="9"/>
      <c r="AB34" s="9"/>
      <c r="AC34" s="9"/>
      <c r="AD34" s="9"/>
      <c r="AE34" s="9"/>
      <c r="AF34" s="9"/>
      <c r="AG34" s="9"/>
      <c r="AH34" s="9"/>
      <c r="AI34" s="9"/>
      <c r="AJ34" s="9"/>
      <c r="AL34" s="9"/>
      <c r="AM34" s="9"/>
      <c r="AN34" s="9"/>
      <c r="AO34" s="9"/>
      <c r="AP34" s="9"/>
      <c r="AQ34" s="9"/>
      <c r="AR34" s="9"/>
      <c r="AS34" s="9"/>
      <c r="AT34" s="9"/>
      <c r="AU34" s="10"/>
    </row>
    <row r="35">
      <c r="B35" s="9"/>
      <c r="F35" s="9"/>
      <c r="G35" s="9"/>
      <c r="L35" s="9"/>
      <c r="M35" s="9"/>
      <c r="R35" s="9"/>
      <c r="S35" s="9"/>
      <c r="X35" s="9"/>
      <c r="Y35" s="9"/>
      <c r="AA35" s="9"/>
      <c r="AB35" s="9"/>
      <c r="AC35" s="9"/>
      <c r="AD35" s="9"/>
      <c r="AE35" s="9"/>
      <c r="AF35" s="9"/>
      <c r="AG35" s="9"/>
      <c r="AH35" s="9"/>
      <c r="AI35" s="9"/>
      <c r="AJ35" s="9"/>
      <c r="AL35" s="9"/>
      <c r="AM35" s="9"/>
      <c r="AN35" s="9"/>
      <c r="AO35" s="9"/>
      <c r="AP35" s="9"/>
      <c r="AQ35" s="9"/>
      <c r="AR35" s="9"/>
      <c r="AS35" s="9"/>
      <c r="AT35" s="9"/>
      <c r="AU35" s="10"/>
    </row>
    <row r="36">
      <c r="B36" s="9"/>
      <c r="F36" s="9"/>
      <c r="G36" s="9"/>
      <c r="L36" s="9"/>
      <c r="M36" s="9"/>
      <c r="R36" s="9"/>
      <c r="S36" s="9"/>
      <c r="X36" s="9"/>
      <c r="Y36" s="9"/>
      <c r="AA36" s="9"/>
      <c r="AB36" s="9"/>
      <c r="AC36" s="9"/>
      <c r="AD36" s="9"/>
      <c r="AE36" s="9"/>
      <c r="AF36" s="9"/>
      <c r="AG36" s="9"/>
      <c r="AH36" s="9"/>
      <c r="AI36" s="9"/>
      <c r="AJ36" s="9"/>
      <c r="AL36" s="9"/>
      <c r="AM36" s="9"/>
      <c r="AN36" s="9"/>
      <c r="AO36" s="9"/>
      <c r="AP36" s="9"/>
      <c r="AQ36" s="9"/>
      <c r="AR36" s="9"/>
      <c r="AS36" s="9"/>
      <c r="AT36" s="9"/>
      <c r="AU36" s="10"/>
    </row>
    <row r="37">
      <c r="B37" s="9"/>
      <c r="F37" s="9"/>
      <c r="G37" s="9"/>
      <c r="L37" s="9"/>
      <c r="M37" s="9"/>
      <c r="R37" s="9"/>
      <c r="S37" s="9"/>
      <c r="X37" s="9"/>
      <c r="Y37" s="9"/>
      <c r="AA37" s="9"/>
      <c r="AB37" s="9"/>
      <c r="AC37" s="9"/>
      <c r="AD37" s="9"/>
      <c r="AE37" s="9"/>
      <c r="AF37" s="9"/>
      <c r="AG37" s="9"/>
      <c r="AH37" s="9"/>
      <c r="AI37" s="9"/>
      <c r="AJ37" s="9"/>
      <c r="AL37" s="9"/>
      <c r="AM37" s="9"/>
      <c r="AN37" s="9"/>
      <c r="AO37" s="9"/>
      <c r="AP37" s="9"/>
      <c r="AQ37" s="9"/>
      <c r="AR37" s="9"/>
      <c r="AS37" s="9"/>
      <c r="AT37" s="9"/>
      <c r="AU37" s="10"/>
    </row>
    <row r="38">
      <c r="B38" s="9"/>
      <c r="F38" s="9"/>
      <c r="G38" s="9"/>
      <c r="L38" s="9"/>
      <c r="M38" s="9"/>
      <c r="R38" s="9"/>
      <c r="S38" s="9"/>
      <c r="X38" s="9"/>
      <c r="Y38" s="9"/>
      <c r="AA38" s="9"/>
      <c r="AB38" s="9"/>
      <c r="AC38" s="9"/>
      <c r="AD38" s="9"/>
      <c r="AE38" s="9"/>
      <c r="AF38" s="9"/>
      <c r="AG38" s="9"/>
      <c r="AH38" s="9"/>
      <c r="AI38" s="9"/>
      <c r="AJ38" s="9"/>
      <c r="AL38" s="9"/>
      <c r="AM38" s="9"/>
      <c r="AN38" s="9"/>
      <c r="AO38" s="9"/>
      <c r="AP38" s="9"/>
      <c r="AQ38" s="9"/>
      <c r="AR38" s="9"/>
      <c r="AS38" s="9"/>
      <c r="AT38" s="9"/>
      <c r="AU38" s="10"/>
    </row>
    <row r="39">
      <c r="B39" s="9"/>
      <c r="F39" s="9"/>
      <c r="G39" s="9"/>
      <c r="L39" s="9"/>
      <c r="M39" s="9"/>
      <c r="R39" s="9"/>
      <c r="S39" s="9"/>
      <c r="X39" s="9"/>
      <c r="Y39" s="9"/>
      <c r="AA39" s="9"/>
      <c r="AB39" s="9"/>
      <c r="AC39" s="9"/>
      <c r="AD39" s="9"/>
      <c r="AE39" s="9"/>
      <c r="AF39" s="9"/>
      <c r="AG39" s="9"/>
      <c r="AH39" s="9"/>
      <c r="AI39" s="9"/>
      <c r="AJ39" s="9"/>
      <c r="AL39" s="9"/>
      <c r="AM39" s="9"/>
      <c r="AN39" s="9"/>
      <c r="AO39" s="9"/>
      <c r="AP39" s="9"/>
      <c r="AQ39" s="9"/>
      <c r="AR39" s="9"/>
      <c r="AS39" s="9"/>
      <c r="AT39" s="9"/>
      <c r="AU39" s="10"/>
    </row>
    <row r="40">
      <c r="B40" s="9"/>
      <c r="F40" s="9"/>
      <c r="G40" s="9"/>
      <c r="L40" s="9"/>
      <c r="M40" s="9"/>
      <c r="R40" s="9"/>
      <c r="S40" s="9"/>
      <c r="X40" s="9"/>
      <c r="Y40" s="9"/>
      <c r="AA40" s="9"/>
      <c r="AB40" s="9"/>
      <c r="AC40" s="9"/>
      <c r="AD40" s="9"/>
      <c r="AE40" s="9"/>
      <c r="AF40" s="9"/>
      <c r="AG40" s="9"/>
      <c r="AH40" s="9"/>
      <c r="AI40" s="9"/>
      <c r="AJ40" s="9"/>
      <c r="AL40" s="9"/>
      <c r="AM40" s="9"/>
      <c r="AN40" s="9"/>
      <c r="AO40" s="9"/>
      <c r="AP40" s="9"/>
      <c r="AQ40" s="9"/>
      <c r="AR40" s="9"/>
      <c r="AS40" s="9"/>
      <c r="AT40" s="9"/>
      <c r="AU40" s="10"/>
    </row>
    <row r="41">
      <c r="B41" s="9"/>
      <c r="F41" s="9"/>
      <c r="G41" s="9"/>
      <c r="L41" s="9"/>
      <c r="M41" s="9"/>
      <c r="R41" s="9"/>
      <c r="S41" s="9"/>
      <c r="X41" s="9"/>
      <c r="Y41" s="9"/>
      <c r="AA41" s="9"/>
      <c r="AB41" s="9"/>
      <c r="AC41" s="9"/>
      <c r="AD41" s="9"/>
      <c r="AE41" s="9"/>
      <c r="AF41" s="9"/>
      <c r="AG41" s="9"/>
      <c r="AH41" s="9"/>
      <c r="AI41" s="9"/>
      <c r="AJ41" s="9"/>
      <c r="AL41" s="9"/>
      <c r="AM41" s="9"/>
      <c r="AN41" s="9"/>
      <c r="AO41" s="9"/>
      <c r="AP41" s="9"/>
      <c r="AQ41" s="9"/>
      <c r="AR41" s="9"/>
      <c r="AS41" s="9"/>
      <c r="AT41" s="9"/>
      <c r="AU41" s="10"/>
    </row>
    <row r="42">
      <c r="B42" s="9"/>
      <c r="F42" s="9"/>
      <c r="G42" s="9"/>
      <c r="L42" s="9"/>
      <c r="M42" s="9"/>
      <c r="R42" s="9"/>
      <c r="S42" s="9"/>
      <c r="X42" s="9"/>
      <c r="Y42" s="9"/>
      <c r="AA42" s="9"/>
      <c r="AB42" s="9"/>
      <c r="AC42" s="9"/>
      <c r="AD42" s="9"/>
      <c r="AE42" s="9"/>
      <c r="AF42" s="9"/>
      <c r="AG42" s="9"/>
      <c r="AH42" s="9"/>
      <c r="AI42" s="9"/>
      <c r="AJ42" s="9"/>
      <c r="AL42" s="9"/>
      <c r="AM42" s="9"/>
      <c r="AN42" s="9"/>
      <c r="AO42" s="9"/>
      <c r="AP42" s="9"/>
      <c r="AQ42" s="9"/>
      <c r="AR42" s="9"/>
      <c r="AS42" s="9"/>
      <c r="AT42" s="9"/>
      <c r="AU42" s="10"/>
    </row>
    <row r="43">
      <c r="B43" s="9"/>
      <c r="F43" s="9"/>
      <c r="G43" s="9"/>
      <c r="L43" s="9"/>
      <c r="M43" s="9"/>
      <c r="R43" s="9"/>
      <c r="S43" s="9"/>
      <c r="X43" s="9"/>
      <c r="Y43" s="9"/>
      <c r="AA43" s="9"/>
      <c r="AB43" s="9"/>
      <c r="AC43" s="9"/>
      <c r="AD43" s="9"/>
      <c r="AE43" s="9"/>
      <c r="AF43" s="9"/>
      <c r="AG43" s="9"/>
      <c r="AH43" s="9"/>
      <c r="AI43" s="9"/>
      <c r="AJ43" s="9"/>
      <c r="AL43" s="9"/>
      <c r="AM43" s="9"/>
      <c r="AN43" s="9"/>
      <c r="AO43" s="9"/>
      <c r="AP43" s="9"/>
      <c r="AQ43" s="9"/>
      <c r="AR43" s="9"/>
      <c r="AS43" s="9"/>
      <c r="AT43" s="9"/>
      <c r="AU43" s="10"/>
    </row>
    <row r="44">
      <c r="B44" s="9"/>
      <c r="F44" s="9"/>
      <c r="G44" s="9"/>
      <c r="L44" s="9"/>
      <c r="M44" s="9"/>
      <c r="R44" s="9"/>
      <c r="S44" s="9"/>
      <c r="X44" s="9"/>
      <c r="Y44" s="9"/>
      <c r="AA44" s="9"/>
      <c r="AB44" s="9"/>
      <c r="AC44" s="9"/>
      <c r="AD44" s="9"/>
      <c r="AE44" s="9"/>
      <c r="AF44" s="9"/>
      <c r="AG44" s="9"/>
      <c r="AH44" s="9"/>
      <c r="AI44" s="9"/>
      <c r="AJ44" s="9"/>
      <c r="AL44" s="9"/>
      <c r="AM44" s="9"/>
      <c r="AN44" s="9"/>
      <c r="AO44" s="9"/>
      <c r="AP44" s="9"/>
      <c r="AQ44" s="9"/>
      <c r="AR44" s="9"/>
      <c r="AS44" s="9"/>
      <c r="AT44" s="9"/>
      <c r="AU44" s="10"/>
    </row>
    <row r="45">
      <c r="B45" s="9"/>
      <c r="F45" s="9"/>
      <c r="G45" s="9"/>
      <c r="L45" s="9"/>
      <c r="M45" s="9"/>
      <c r="R45" s="9"/>
      <c r="S45" s="9"/>
      <c r="X45" s="9"/>
      <c r="Y45" s="9"/>
      <c r="AA45" s="9"/>
      <c r="AB45" s="9"/>
      <c r="AC45" s="9"/>
      <c r="AD45" s="9"/>
      <c r="AE45" s="9"/>
      <c r="AF45" s="9"/>
      <c r="AG45" s="9"/>
      <c r="AH45" s="9"/>
      <c r="AI45" s="9"/>
      <c r="AJ45" s="9"/>
      <c r="AL45" s="9"/>
      <c r="AM45" s="9"/>
      <c r="AN45" s="9"/>
      <c r="AO45" s="9"/>
      <c r="AP45" s="9"/>
      <c r="AQ45" s="9"/>
      <c r="AR45" s="9"/>
      <c r="AS45" s="9"/>
      <c r="AT45" s="9"/>
      <c r="AU45" s="10"/>
    </row>
    <row r="46">
      <c r="B46" s="9"/>
      <c r="F46" s="9"/>
      <c r="G46" s="9"/>
      <c r="L46" s="9"/>
      <c r="M46" s="9"/>
      <c r="R46" s="9"/>
      <c r="S46" s="9"/>
      <c r="X46" s="9"/>
      <c r="Y46" s="9"/>
      <c r="AA46" s="9"/>
      <c r="AB46" s="9"/>
      <c r="AC46" s="9"/>
      <c r="AD46" s="9"/>
      <c r="AE46" s="9"/>
      <c r="AF46" s="9"/>
      <c r="AG46" s="9"/>
      <c r="AH46" s="9"/>
      <c r="AI46" s="9"/>
      <c r="AJ46" s="9"/>
      <c r="AL46" s="9"/>
      <c r="AM46" s="9"/>
      <c r="AN46" s="9"/>
      <c r="AO46" s="9"/>
      <c r="AP46" s="9"/>
      <c r="AQ46" s="9"/>
      <c r="AR46" s="9"/>
      <c r="AS46" s="9"/>
      <c r="AT46" s="9"/>
      <c r="AU46" s="10"/>
    </row>
    <row r="47">
      <c r="B47" s="9"/>
      <c r="F47" s="9"/>
      <c r="G47" s="9"/>
      <c r="L47" s="9"/>
      <c r="M47" s="9"/>
      <c r="R47" s="9"/>
      <c r="S47" s="9"/>
      <c r="X47" s="9"/>
      <c r="Y47" s="9"/>
      <c r="AA47" s="9"/>
      <c r="AB47" s="9"/>
      <c r="AC47" s="9"/>
      <c r="AD47" s="9"/>
      <c r="AE47" s="9"/>
      <c r="AF47" s="9"/>
      <c r="AG47" s="9"/>
      <c r="AH47" s="9"/>
      <c r="AI47" s="9"/>
      <c r="AJ47" s="9"/>
      <c r="AL47" s="9"/>
      <c r="AM47" s="9"/>
      <c r="AN47" s="9"/>
      <c r="AO47" s="9"/>
      <c r="AP47" s="9"/>
      <c r="AQ47" s="9"/>
      <c r="AR47" s="9"/>
      <c r="AS47" s="9"/>
      <c r="AT47" s="9"/>
      <c r="AU47" s="10"/>
    </row>
    <row r="48">
      <c r="B48" s="9"/>
      <c r="F48" s="9"/>
      <c r="G48" s="9"/>
      <c r="L48" s="9"/>
      <c r="M48" s="9"/>
      <c r="R48" s="9"/>
      <c r="S48" s="9"/>
      <c r="X48" s="9"/>
      <c r="Y48" s="9"/>
      <c r="AA48" s="9"/>
      <c r="AB48" s="9"/>
      <c r="AC48" s="9"/>
      <c r="AD48" s="9"/>
      <c r="AE48" s="9"/>
      <c r="AF48" s="9"/>
      <c r="AG48" s="9"/>
      <c r="AH48" s="9"/>
      <c r="AI48" s="9"/>
      <c r="AJ48" s="9"/>
      <c r="AL48" s="9"/>
      <c r="AM48" s="9"/>
      <c r="AN48" s="9"/>
      <c r="AO48" s="9"/>
      <c r="AP48" s="9"/>
      <c r="AQ48" s="9"/>
      <c r="AR48" s="9"/>
      <c r="AS48" s="9"/>
      <c r="AT48" s="9"/>
      <c r="AU48" s="10"/>
    </row>
    <row r="49">
      <c r="B49" s="9"/>
      <c r="F49" s="9"/>
      <c r="G49" s="9"/>
      <c r="L49" s="9"/>
      <c r="M49" s="9"/>
      <c r="R49" s="9"/>
      <c r="S49" s="9"/>
      <c r="X49" s="9"/>
      <c r="Y49" s="9"/>
      <c r="AA49" s="9"/>
      <c r="AB49" s="9"/>
      <c r="AC49" s="9"/>
      <c r="AD49" s="9"/>
      <c r="AE49" s="9"/>
      <c r="AF49" s="9"/>
      <c r="AG49" s="9"/>
      <c r="AH49" s="9"/>
      <c r="AI49" s="9"/>
      <c r="AJ49" s="9"/>
      <c r="AL49" s="9"/>
      <c r="AM49" s="9"/>
      <c r="AN49" s="9"/>
      <c r="AO49" s="9"/>
      <c r="AP49" s="9"/>
      <c r="AQ49" s="9"/>
      <c r="AR49" s="9"/>
      <c r="AS49" s="9"/>
      <c r="AT49" s="9"/>
      <c r="AU49" s="10"/>
    </row>
    <row r="50">
      <c r="B50" s="9"/>
      <c r="F50" s="9"/>
      <c r="G50" s="9"/>
      <c r="L50" s="9"/>
      <c r="M50" s="9"/>
      <c r="R50" s="9"/>
      <c r="S50" s="9"/>
      <c r="X50" s="9"/>
      <c r="Y50" s="9"/>
      <c r="AA50" s="9"/>
      <c r="AB50" s="9"/>
      <c r="AC50" s="9"/>
      <c r="AD50" s="9"/>
      <c r="AE50" s="9"/>
      <c r="AF50" s="9"/>
      <c r="AG50" s="9"/>
      <c r="AH50" s="9"/>
      <c r="AI50" s="9"/>
      <c r="AJ50" s="9"/>
      <c r="AL50" s="9"/>
      <c r="AM50" s="9"/>
      <c r="AN50" s="9"/>
      <c r="AO50" s="9"/>
      <c r="AP50" s="9"/>
      <c r="AQ50" s="9"/>
      <c r="AR50" s="9"/>
      <c r="AS50" s="9"/>
      <c r="AT50" s="9"/>
      <c r="AU50" s="10"/>
    </row>
    <row r="51">
      <c r="B51" s="9"/>
      <c r="F51" s="9"/>
      <c r="G51" s="9"/>
      <c r="L51" s="9"/>
      <c r="M51" s="9"/>
      <c r="R51" s="9"/>
      <c r="S51" s="9"/>
      <c r="X51" s="9"/>
      <c r="Y51" s="9"/>
      <c r="AA51" s="9"/>
      <c r="AB51" s="9"/>
      <c r="AC51" s="9"/>
      <c r="AD51" s="9"/>
      <c r="AE51" s="9"/>
      <c r="AF51" s="9"/>
      <c r="AG51" s="9"/>
      <c r="AH51" s="9"/>
      <c r="AI51" s="9"/>
      <c r="AJ51" s="9"/>
      <c r="AL51" s="9"/>
      <c r="AM51" s="9"/>
      <c r="AN51" s="9"/>
      <c r="AO51" s="9"/>
      <c r="AP51" s="9"/>
      <c r="AQ51" s="9"/>
      <c r="AR51" s="9"/>
      <c r="AS51" s="9"/>
      <c r="AT51" s="9"/>
      <c r="AU51" s="10"/>
    </row>
    <row r="52">
      <c r="B52" s="9"/>
      <c r="F52" s="9"/>
      <c r="G52" s="9"/>
      <c r="L52" s="9"/>
      <c r="M52" s="9"/>
      <c r="R52" s="9"/>
      <c r="S52" s="9"/>
      <c r="X52" s="9"/>
      <c r="Y52" s="9"/>
      <c r="AA52" s="9"/>
      <c r="AB52" s="9"/>
      <c r="AC52" s="9"/>
      <c r="AD52" s="9"/>
      <c r="AE52" s="9"/>
      <c r="AF52" s="9"/>
      <c r="AG52" s="9"/>
      <c r="AH52" s="9"/>
      <c r="AI52" s="9"/>
      <c r="AJ52" s="9"/>
      <c r="AL52" s="9"/>
      <c r="AM52" s="9"/>
      <c r="AN52" s="9"/>
      <c r="AO52" s="9"/>
      <c r="AP52" s="9"/>
      <c r="AQ52" s="9"/>
      <c r="AR52" s="9"/>
      <c r="AS52" s="9"/>
      <c r="AT52" s="9"/>
      <c r="AU52" s="10"/>
    </row>
    <row r="53">
      <c r="B53" s="9"/>
      <c r="F53" s="9"/>
      <c r="G53" s="9"/>
      <c r="L53" s="9"/>
      <c r="M53" s="9"/>
      <c r="R53" s="9"/>
      <c r="S53" s="9"/>
      <c r="X53" s="9"/>
      <c r="Y53" s="9"/>
      <c r="AA53" s="9"/>
      <c r="AB53" s="9"/>
      <c r="AC53" s="9"/>
      <c r="AD53" s="9"/>
      <c r="AE53" s="9"/>
      <c r="AF53" s="9"/>
      <c r="AG53" s="9"/>
      <c r="AH53" s="9"/>
      <c r="AI53" s="9"/>
      <c r="AJ53" s="9"/>
      <c r="AL53" s="9"/>
      <c r="AM53" s="9"/>
      <c r="AN53" s="9"/>
      <c r="AO53" s="9"/>
      <c r="AP53" s="9"/>
      <c r="AQ53" s="9"/>
      <c r="AR53" s="9"/>
      <c r="AS53" s="9"/>
      <c r="AT53" s="9"/>
      <c r="AU53" s="10"/>
    </row>
    <row r="54">
      <c r="B54" s="9"/>
      <c r="F54" s="9"/>
      <c r="G54" s="9"/>
      <c r="L54" s="9"/>
      <c r="M54" s="9"/>
      <c r="R54" s="9"/>
      <c r="S54" s="9"/>
      <c r="X54" s="9"/>
      <c r="Y54" s="9"/>
      <c r="AA54" s="9"/>
      <c r="AB54" s="9"/>
      <c r="AC54" s="9"/>
      <c r="AD54" s="9"/>
      <c r="AE54" s="9"/>
      <c r="AF54" s="9"/>
      <c r="AG54" s="9"/>
      <c r="AH54" s="9"/>
      <c r="AI54" s="9"/>
      <c r="AJ54" s="9"/>
      <c r="AL54" s="9"/>
      <c r="AM54" s="9"/>
      <c r="AN54" s="9"/>
      <c r="AO54" s="9"/>
      <c r="AP54" s="9"/>
      <c r="AQ54" s="9"/>
      <c r="AR54" s="9"/>
      <c r="AS54" s="9"/>
      <c r="AT54" s="9"/>
      <c r="AU54" s="10"/>
    </row>
    <row r="55">
      <c r="B55" s="9"/>
      <c r="F55" s="9"/>
      <c r="G55" s="9"/>
      <c r="L55" s="9"/>
      <c r="M55" s="9"/>
      <c r="R55" s="9"/>
      <c r="S55" s="9"/>
      <c r="X55" s="9"/>
      <c r="Y55" s="9"/>
      <c r="AA55" s="9"/>
      <c r="AB55" s="9"/>
      <c r="AC55" s="9"/>
      <c r="AD55" s="9"/>
      <c r="AE55" s="9"/>
      <c r="AF55" s="9"/>
      <c r="AG55" s="9"/>
      <c r="AH55" s="9"/>
      <c r="AI55" s="9"/>
      <c r="AJ55" s="9"/>
      <c r="AL55" s="9"/>
      <c r="AM55" s="9"/>
      <c r="AN55" s="9"/>
      <c r="AO55" s="9"/>
      <c r="AP55" s="9"/>
      <c r="AQ55" s="9"/>
      <c r="AR55" s="9"/>
      <c r="AS55" s="9"/>
      <c r="AT55" s="9"/>
      <c r="AU55" s="10"/>
    </row>
    <row r="56">
      <c r="B56" s="9"/>
      <c r="F56" s="9"/>
      <c r="G56" s="9"/>
      <c r="L56" s="9"/>
      <c r="M56" s="9"/>
      <c r="R56" s="9"/>
      <c r="S56" s="9"/>
      <c r="X56" s="9"/>
      <c r="Y56" s="9"/>
      <c r="AA56" s="9"/>
      <c r="AB56" s="9"/>
      <c r="AC56" s="9"/>
      <c r="AD56" s="9"/>
      <c r="AE56" s="9"/>
      <c r="AF56" s="9"/>
      <c r="AG56" s="9"/>
      <c r="AH56" s="9"/>
      <c r="AI56" s="9"/>
      <c r="AJ56" s="9"/>
      <c r="AL56" s="9"/>
      <c r="AM56" s="9"/>
      <c r="AN56" s="9"/>
      <c r="AO56" s="9"/>
      <c r="AP56" s="9"/>
      <c r="AQ56" s="9"/>
      <c r="AR56" s="9"/>
      <c r="AS56" s="9"/>
      <c r="AT56" s="9"/>
      <c r="AU56" s="10"/>
    </row>
    <row r="57">
      <c r="B57" s="9"/>
      <c r="F57" s="9"/>
      <c r="G57" s="9"/>
      <c r="L57" s="9"/>
      <c r="M57" s="9"/>
      <c r="R57" s="9"/>
      <c r="S57" s="9"/>
      <c r="X57" s="9"/>
      <c r="Y57" s="9"/>
      <c r="AA57" s="9"/>
      <c r="AB57" s="9"/>
      <c r="AC57" s="9"/>
      <c r="AD57" s="9"/>
      <c r="AE57" s="9"/>
      <c r="AF57" s="9"/>
      <c r="AG57" s="9"/>
      <c r="AH57" s="9"/>
      <c r="AI57" s="9"/>
      <c r="AJ57" s="9"/>
      <c r="AL57" s="9"/>
      <c r="AM57" s="9"/>
      <c r="AN57" s="9"/>
      <c r="AO57" s="9"/>
      <c r="AP57" s="9"/>
      <c r="AQ57" s="9"/>
      <c r="AR57" s="9"/>
      <c r="AS57" s="9"/>
      <c r="AT57" s="9"/>
      <c r="AU57" s="10"/>
    </row>
    <row r="58">
      <c r="B58" s="9"/>
      <c r="F58" s="9"/>
      <c r="G58" s="9"/>
      <c r="L58" s="9"/>
      <c r="M58" s="9"/>
      <c r="R58" s="9"/>
      <c r="S58" s="9"/>
      <c r="X58" s="9"/>
      <c r="Y58" s="9"/>
      <c r="AA58" s="9"/>
      <c r="AB58" s="9"/>
      <c r="AC58" s="9"/>
      <c r="AD58" s="9"/>
      <c r="AE58" s="9"/>
      <c r="AF58" s="9"/>
      <c r="AG58" s="9"/>
      <c r="AH58" s="9"/>
      <c r="AI58" s="9"/>
      <c r="AJ58" s="9"/>
      <c r="AL58" s="9"/>
      <c r="AM58" s="9"/>
      <c r="AN58" s="9"/>
      <c r="AO58" s="9"/>
      <c r="AP58" s="9"/>
      <c r="AQ58" s="9"/>
      <c r="AR58" s="9"/>
      <c r="AS58" s="9"/>
      <c r="AT58" s="9"/>
      <c r="AU58" s="10"/>
    </row>
    <row r="59">
      <c r="B59" s="9"/>
      <c r="F59" s="9"/>
      <c r="G59" s="9"/>
      <c r="L59" s="9"/>
      <c r="M59" s="9"/>
      <c r="R59" s="9"/>
      <c r="S59" s="9"/>
      <c r="X59" s="9"/>
      <c r="Y59" s="9"/>
      <c r="AA59" s="9"/>
      <c r="AB59" s="9"/>
      <c r="AC59" s="9"/>
      <c r="AD59" s="9"/>
      <c r="AE59" s="9"/>
      <c r="AF59" s="9"/>
      <c r="AG59" s="9"/>
      <c r="AH59" s="9"/>
      <c r="AI59" s="9"/>
      <c r="AJ59" s="9"/>
      <c r="AL59" s="9"/>
      <c r="AM59" s="9"/>
      <c r="AN59" s="9"/>
      <c r="AO59" s="9"/>
      <c r="AP59" s="9"/>
      <c r="AQ59" s="9"/>
      <c r="AR59" s="9"/>
      <c r="AS59" s="9"/>
      <c r="AT59" s="9"/>
      <c r="AU59" s="10"/>
    </row>
    <row r="60">
      <c r="B60" s="9"/>
      <c r="F60" s="9"/>
      <c r="G60" s="9"/>
      <c r="L60" s="9"/>
      <c r="M60" s="9"/>
      <c r="R60" s="9"/>
      <c r="S60" s="9"/>
      <c r="X60" s="9"/>
      <c r="Y60" s="9"/>
      <c r="AA60" s="9"/>
      <c r="AB60" s="9"/>
      <c r="AC60" s="9"/>
      <c r="AD60" s="9"/>
      <c r="AE60" s="9"/>
      <c r="AF60" s="9"/>
      <c r="AG60" s="9"/>
      <c r="AH60" s="9"/>
      <c r="AI60" s="9"/>
      <c r="AJ60" s="9"/>
      <c r="AL60" s="9"/>
      <c r="AM60" s="9"/>
      <c r="AN60" s="9"/>
      <c r="AO60" s="9"/>
      <c r="AP60" s="9"/>
      <c r="AQ60" s="9"/>
      <c r="AR60" s="9"/>
      <c r="AS60" s="9"/>
      <c r="AT60" s="9"/>
      <c r="AU60" s="10"/>
    </row>
    <row r="61">
      <c r="B61" s="9"/>
      <c r="F61" s="9"/>
      <c r="G61" s="9"/>
      <c r="L61" s="9"/>
      <c r="M61" s="9"/>
      <c r="R61" s="9"/>
      <c r="S61" s="9"/>
      <c r="X61" s="9"/>
      <c r="Y61" s="9"/>
      <c r="AA61" s="9"/>
      <c r="AB61" s="9"/>
      <c r="AC61" s="9"/>
      <c r="AD61" s="9"/>
      <c r="AE61" s="9"/>
      <c r="AF61" s="9"/>
      <c r="AG61" s="9"/>
      <c r="AH61" s="9"/>
      <c r="AI61" s="9"/>
      <c r="AJ61" s="9"/>
      <c r="AL61" s="9"/>
      <c r="AM61" s="9"/>
      <c r="AN61" s="9"/>
      <c r="AO61" s="9"/>
      <c r="AP61" s="9"/>
      <c r="AQ61" s="9"/>
      <c r="AR61" s="9"/>
      <c r="AS61" s="9"/>
      <c r="AT61" s="9"/>
      <c r="AU61" s="10"/>
    </row>
    <row r="62">
      <c r="B62" s="9"/>
      <c r="F62" s="9"/>
      <c r="G62" s="9"/>
      <c r="L62" s="9"/>
      <c r="M62" s="9"/>
      <c r="R62" s="9"/>
      <c r="S62" s="9"/>
      <c r="X62" s="9"/>
      <c r="Y62" s="9"/>
      <c r="AA62" s="9"/>
      <c r="AB62" s="9"/>
      <c r="AC62" s="9"/>
      <c r="AD62" s="9"/>
      <c r="AE62" s="9"/>
      <c r="AF62" s="9"/>
      <c r="AG62" s="9"/>
      <c r="AH62" s="9"/>
      <c r="AI62" s="9"/>
      <c r="AJ62" s="9"/>
      <c r="AL62" s="9"/>
      <c r="AM62" s="9"/>
      <c r="AN62" s="9"/>
      <c r="AO62" s="9"/>
      <c r="AP62" s="9"/>
      <c r="AQ62" s="9"/>
      <c r="AR62" s="9"/>
      <c r="AS62" s="9"/>
      <c r="AT62" s="9"/>
      <c r="AU62" s="10"/>
    </row>
    <row r="63">
      <c r="B63" s="9"/>
      <c r="F63" s="9"/>
      <c r="G63" s="9"/>
      <c r="L63" s="9"/>
      <c r="M63" s="9"/>
      <c r="R63" s="9"/>
      <c r="S63" s="9"/>
      <c r="X63" s="9"/>
      <c r="Y63" s="9"/>
      <c r="AA63" s="9"/>
      <c r="AB63" s="9"/>
      <c r="AC63" s="9"/>
      <c r="AD63" s="9"/>
      <c r="AE63" s="9"/>
      <c r="AF63" s="9"/>
      <c r="AG63" s="9"/>
      <c r="AH63" s="9"/>
      <c r="AI63" s="9"/>
      <c r="AJ63" s="9"/>
      <c r="AL63" s="9"/>
      <c r="AM63" s="9"/>
      <c r="AN63" s="9"/>
      <c r="AO63" s="9"/>
      <c r="AP63" s="9"/>
      <c r="AQ63" s="9"/>
      <c r="AR63" s="9"/>
      <c r="AS63" s="9"/>
      <c r="AT63" s="9"/>
      <c r="AU63" s="10"/>
    </row>
    <row r="64">
      <c r="B64" s="9"/>
      <c r="F64" s="9"/>
      <c r="G64" s="9"/>
      <c r="L64" s="9"/>
      <c r="M64" s="9"/>
      <c r="R64" s="9"/>
      <c r="S64" s="9"/>
      <c r="X64" s="9"/>
      <c r="Y64" s="9"/>
      <c r="AA64" s="9"/>
      <c r="AB64" s="9"/>
      <c r="AC64" s="9"/>
      <c r="AD64" s="9"/>
      <c r="AE64" s="9"/>
      <c r="AF64" s="9"/>
      <c r="AG64" s="9"/>
      <c r="AH64" s="9"/>
      <c r="AI64" s="9"/>
      <c r="AJ64" s="9"/>
      <c r="AL64" s="9"/>
      <c r="AM64" s="9"/>
      <c r="AN64" s="9"/>
      <c r="AO64" s="9"/>
      <c r="AP64" s="9"/>
      <c r="AQ64" s="9"/>
      <c r="AR64" s="9"/>
      <c r="AS64" s="9"/>
      <c r="AT64" s="9"/>
      <c r="AU64" s="10"/>
    </row>
    <row r="65">
      <c r="B65" s="9"/>
      <c r="F65" s="9"/>
      <c r="G65" s="9"/>
      <c r="L65" s="9"/>
      <c r="M65" s="9"/>
      <c r="R65" s="9"/>
      <c r="S65" s="9"/>
      <c r="X65" s="9"/>
      <c r="Y65" s="9"/>
      <c r="AA65" s="9"/>
      <c r="AB65" s="9"/>
      <c r="AC65" s="9"/>
      <c r="AD65" s="9"/>
      <c r="AE65" s="9"/>
      <c r="AF65" s="9"/>
      <c r="AG65" s="9"/>
      <c r="AH65" s="9"/>
      <c r="AI65" s="9"/>
      <c r="AJ65" s="9"/>
      <c r="AL65" s="9"/>
      <c r="AM65" s="9"/>
      <c r="AN65" s="9"/>
      <c r="AO65" s="9"/>
      <c r="AP65" s="9"/>
      <c r="AQ65" s="9"/>
      <c r="AR65" s="9"/>
      <c r="AS65" s="9"/>
      <c r="AT65" s="9"/>
      <c r="AU65" s="10"/>
    </row>
    <row r="66">
      <c r="B66" s="9"/>
      <c r="F66" s="9"/>
      <c r="G66" s="9"/>
      <c r="L66" s="9"/>
      <c r="M66" s="9"/>
      <c r="R66" s="9"/>
      <c r="S66" s="9"/>
      <c r="X66" s="9"/>
      <c r="Y66" s="9"/>
      <c r="AA66" s="9"/>
      <c r="AB66" s="9"/>
      <c r="AC66" s="9"/>
      <c r="AD66" s="9"/>
      <c r="AE66" s="9"/>
      <c r="AF66" s="9"/>
      <c r="AG66" s="9"/>
      <c r="AH66" s="9"/>
      <c r="AI66" s="9"/>
      <c r="AJ66" s="9"/>
      <c r="AL66" s="9"/>
      <c r="AM66" s="9"/>
      <c r="AN66" s="9"/>
      <c r="AO66" s="9"/>
      <c r="AP66" s="9"/>
      <c r="AQ66" s="9"/>
      <c r="AR66" s="9"/>
      <c r="AS66" s="9"/>
      <c r="AT66" s="9"/>
      <c r="AU66" s="10"/>
    </row>
    <row r="67">
      <c r="B67" s="9"/>
      <c r="F67" s="9"/>
      <c r="G67" s="9"/>
      <c r="L67" s="9"/>
      <c r="M67" s="9"/>
      <c r="R67" s="9"/>
      <c r="S67" s="9"/>
      <c r="X67" s="9"/>
      <c r="Y67" s="9"/>
      <c r="AA67" s="9"/>
      <c r="AB67" s="9"/>
      <c r="AC67" s="9"/>
      <c r="AD67" s="9"/>
      <c r="AE67" s="9"/>
      <c r="AF67" s="9"/>
      <c r="AG67" s="9"/>
      <c r="AH67" s="9"/>
      <c r="AI67" s="9"/>
      <c r="AJ67" s="9"/>
      <c r="AL67" s="9"/>
      <c r="AM67" s="9"/>
      <c r="AN67" s="9"/>
      <c r="AO67" s="9"/>
      <c r="AP67" s="9"/>
      <c r="AQ67" s="9"/>
      <c r="AR67" s="9"/>
      <c r="AS67" s="9"/>
      <c r="AT67" s="9"/>
      <c r="AU67" s="10"/>
    </row>
    <row r="68">
      <c r="B68" s="9"/>
      <c r="F68" s="9"/>
      <c r="G68" s="9"/>
      <c r="L68" s="9"/>
      <c r="M68" s="9"/>
      <c r="R68" s="9"/>
      <c r="S68" s="9"/>
      <c r="X68" s="9"/>
      <c r="Y68" s="9"/>
      <c r="AA68" s="9"/>
      <c r="AB68" s="9"/>
      <c r="AC68" s="9"/>
      <c r="AD68" s="9"/>
      <c r="AE68" s="9"/>
      <c r="AF68" s="9"/>
      <c r="AG68" s="9"/>
      <c r="AH68" s="9"/>
      <c r="AI68" s="9"/>
      <c r="AJ68" s="9"/>
      <c r="AL68" s="9"/>
      <c r="AM68" s="9"/>
      <c r="AN68" s="9"/>
      <c r="AO68" s="9"/>
      <c r="AP68" s="9"/>
      <c r="AQ68" s="9"/>
      <c r="AR68" s="9"/>
      <c r="AS68" s="9"/>
      <c r="AT68" s="9"/>
      <c r="AU68" s="10"/>
    </row>
    <row r="69">
      <c r="B69" s="9"/>
      <c r="F69" s="9"/>
      <c r="G69" s="9"/>
      <c r="L69" s="9"/>
      <c r="M69" s="9"/>
      <c r="R69" s="9"/>
      <c r="S69" s="9"/>
      <c r="X69" s="9"/>
      <c r="Y69" s="9"/>
      <c r="AA69" s="9"/>
      <c r="AB69" s="9"/>
      <c r="AC69" s="9"/>
      <c r="AD69" s="9"/>
      <c r="AE69" s="9"/>
      <c r="AF69" s="9"/>
      <c r="AG69" s="9"/>
      <c r="AH69" s="9"/>
      <c r="AI69" s="9"/>
      <c r="AJ69" s="9"/>
      <c r="AL69" s="9"/>
      <c r="AM69" s="9"/>
      <c r="AN69" s="9"/>
      <c r="AO69" s="9"/>
      <c r="AP69" s="9"/>
      <c r="AQ69" s="9"/>
      <c r="AR69" s="9"/>
      <c r="AS69" s="9"/>
      <c r="AT69" s="9"/>
      <c r="AU69" s="10"/>
    </row>
    <row r="70">
      <c r="B70" s="9"/>
      <c r="F70" s="9"/>
      <c r="G70" s="9"/>
      <c r="L70" s="9"/>
      <c r="M70" s="9"/>
      <c r="R70" s="9"/>
      <c r="S70" s="9"/>
      <c r="X70" s="9"/>
      <c r="Y70" s="9"/>
      <c r="AA70" s="9"/>
      <c r="AB70" s="9"/>
      <c r="AC70" s="9"/>
      <c r="AD70" s="9"/>
      <c r="AE70" s="9"/>
      <c r="AF70" s="9"/>
      <c r="AG70" s="9"/>
      <c r="AH70" s="9"/>
      <c r="AI70" s="9"/>
      <c r="AJ70" s="9"/>
      <c r="AL70" s="9"/>
      <c r="AM70" s="9"/>
      <c r="AN70" s="9"/>
      <c r="AO70" s="9"/>
      <c r="AP70" s="9"/>
      <c r="AQ70" s="9"/>
      <c r="AR70" s="9"/>
      <c r="AS70" s="9"/>
      <c r="AT70" s="9"/>
      <c r="AU70" s="10"/>
    </row>
    <row r="71">
      <c r="B71" s="9"/>
      <c r="F71" s="9"/>
      <c r="G71" s="9"/>
      <c r="L71" s="9"/>
      <c r="M71" s="9"/>
      <c r="R71" s="9"/>
      <c r="S71" s="9"/>
      <c r="X71" s="9"/>
      <c r="Y71" s="9"/>
      <c r="AA71" s="9"/>
      <c r="AB71" s="9"/>
      <c r="AC71" s="9"/>
      <c r="AD71" s="9"/>
      <c r="AE71" s="9"/>
      <c r="AF71" s="9"/>
      <c r="AG71" s="9"/>
      <c r="AH71" s="9"/>
      <c r="AI71" s="9"/>
      <c r="AJ71" s="9"/>
      <c r="AL71" s="9"/>
      <c r="AM71" s="9"/>
      <c r="AN71" s="9"/>
      <c r="AO71" s="9"/>
      <c r="AP71" s="9"/>
      <c r="AQ71" s="9"/>
      <c r="AR71" s="9"/>
      <c r="AS71" s="9"/>
      <c r="AT71" s="9"/>
      <c r="AU71" s="10"/>
    </row>
    <row r="72">
      <c r="B72" s="9"/>
      <c r="F72" s="9"/>
      <c r="G72" s="9"/>
      <c r="L72" s="9"/>
      <c r="M72" s="9"/>
      <c r="R72" s="9"/>
      <c r="S72" s="9"/>
      <c r="X72" s="9"/>
      <c r="Y72" s="9"/>
      <c r="AA72" s="9"/>
      <c r="AB72" s="9"/>
      <c r="AC72" s="9"/>
      <c r="AD72" s="9"/>
      <c r="AE72" s="9"/>
      <c r="AF72" s="9"/>
      <c r="AG72" s="9"/>
      <c r="AH72" s="9"/>
      <c r="AI72" s="9"/>
      <c r="AJ72" s="9"/>
      <c r="AL72" s="9"/>
      <c r="AM72" s="9"/>
      <c r="AN72" s="9"/>
      <c r="AO72" s="9"/>
      <c r="AP72" s="9"/>
      <c r="AQ72" s="9"/>
      <c r="AR72" s="9"/>
      <c r="AS72" s="9"/>
      <c r="AT72" s="9"/>
      <c r="AU72" s="10"/>
    </row>
    <row r="73">
      <c r="B73" s="9"/>
      <c r="F73" s="9"/>
      <c r="G73" s="9"/>
      <c r="L73" s="9"/>
      <c r="M73" s="9"/>
      <c r="R73" s="9"/>
      <c r="S73" s="9"/>
      <c r="X73" s="9"/>
      <c r="Y73" s="9"/>
      <c r="AA73" s="9"/>
      <c r="AB73" s="9"/>
      <c r="AC73" s="9"/>
      <c r="AD73" s="9"/>
      <c r="AE73" s="9"/>
      <c r="AF73" s="9"/>
      <c r="AG73" s="9"/>
      <c r="AH73" s="9"/>
      <c r="AI73" s="9"/>
      <c r="AJ73" s="9"/>
      <c r="AL73" s="9"/>
      <c r="AM73" s="9"/>
      <c r="AN73" s="9"/>
      <c r="AO73" s="9"/>
      <c r="AP73" s="9"/>
      <c r="AQ73" s="9"/>
      <c r="AR73" s="9"/>
      <c r="AS73" s="9"/>
      <c r="AT73" s="9"/>
      <c r="AU73" s="10"/>
    </row>
    <row r="74">
      <c r="B74" s="9"/>
      <c r="F74" s="9"/>
      <c r="G74" s="9"/>
      <c r="L74" s="9"/>
      <c r="M74" s="9"/>
      <c r="R74" s="9"/>
      <c r="S74" s="9"/>
      <c r="X74" s="9"/>
      <c r="Y74" s="9"/>
      <c r="AA74" s="9"/>
      <c r="AB74" s="9"/>
      <c r="AC74" s="9"/>
      <c r="AD74" s="9"/>
      <c r="AE74" s="9"/>
      <c r="AF74" s="9"/>
      <c r="AG74" s="9"/>
      <c r="AH74" s="9"/>
      <c r="AI74" s="9"/>
      <c r="AJ74" s="9"/>
      <c r="AL74" s="9"/>
      <c r="AM74" s="9"/>
      <c r="AN74" s="9"/>
      <c r="AO74" s="9"/>
      <c r="AP74" s="9"/>
      <c r="AQ74" s="9"/>
      <c r="AR74" s="9"/>
      <c r="AS74" s="9"/>
      <c r="AT74" s="9"/>
      <c r="AU74" s="10"/>
    </row>
    <row r="75">
      <c r="B75" s="9"/>
      <c r="F75" s="9"/>
      <c r="G75" s="9"/>
      <c r="L75" s="9"/>
      <c r="M75" s="9"/>
      <c r="R75" s="9"/>
      <c r="S75" s="9"/>
      <c r="X75" s="9"/>
      <c r="Y75" s="9"/>
      <c r="AA75" s="9"/>
      <c r="AB75" s="9"/>
      <c r="AC75" s="9"/>
      <c r="AD75" s="9"/>
      <c r="AE75" s="9"/>
      <c r="AF75" s="9"/>
      <c r="AG75" s="9"/>
      <c r="AH75" s="9"/>
      <c r="AI75" s="9"/>
      <c r="AJ75" s="9"/>
      <c r="AL75" s="9"/>
      <c r="AM75" s="9"/>
      <c r="AN75" s="9"/>
      <c r="AO75" s="9"/>
      <c r="AP75" s="9"/>
      <c r="AQ75" s="9"/>
      <c r="AR75" s="9"/>
      <c r="AS75" s="9"/>
      <c r="AT75" s="9"/>
      <c r="AU75" s="10"/>
    </row>
    <row r="76">
      <c r="B76" s="9"/>
      <c r="F76" s="9"/>
      <c r="G76" s="9"/>
      <c r="L76" s="9"/>
      <c r="M76" s="9"/>
      <c r="R76" s="9"/>
      <c r="S76" s="9"/>
      <c r="X76" s="9"/>
      <c r="Y76" s="9"/>
      <c r="AA76" s="9"/>
      <c r="AB76" s="9"/>
      <c r="AC76" s="9"/>
      <c r="AD76" s="9"/>
      <c r="AE76" s="9"/>
      <c r="AF76" s="9"/>
      <c r="AG76" s="9"/>
      <c r="AH76" s="9"/>
      <c r="AI76" s="9"/>
      <c r="AJ76" s="9"/>
      <c r="AL76" s="9"/>
      <c r="AM76" s="9"/>
      <c r="AN76" s="9"/>
      <c r="AO76" s="9"/>
      <c r="AP76" s="9"/>
      <c r="AQ76" s="9"/>
      <c r="AR76" s="9"/>
      <c r="AS76" s="9"/>
      <c r="AT76" s="9"/>
      <c r="AU76" s="10"/>
    </row>
    <row r="77">
      <c r="B77" s="9"/>
      <c r="F77" s="9"/>
      <c r="G77" s="9"/>
      <c r="L77" s="9"/>
      <c r="M77" s="9"/>
      <c r="R77" s="9"/>
      <c r="S77" s="9"/>
      <c r="X77" s="9"/>
      <c r="Y77" s="9"/>
      <c r="AA77" s="9"/>
      <c r="AB77" s="9"/>
      <c r="AC77" s="9"/>
      <c r="AD77" s="9"/>
      <c r="AE77" s="9"/>
      <c r="AF77" s="9"/>
      <c r="AG77" s="9"/>
      <c r="AH77" s="9"/>
      <c r="AI77" s="9"/>
      <c r="AJ77" s="9"/>
      <c r="AL77" s="9"/>
      <c r="AM77" s="9"/>
      <c r="AN77" s="9"/>
      <c r="AO77" s="9"/>
      <c r="AP77" s="9"/>
      <c r="AQ77" s="9"/>
      <c r="AR77" s="9"/>
      <c r="AS77" s="9"/>
      <c r="AT77" s="9"/>
      <c r="AU77" s="10"/>
    </row>
    <row r="78">
      <c r="B78" s="9"/>
      <c r="F78" s="9"/>
      <c r="G78" s="9"/>
      <c r="L78" s="9"/>
      <c r="M78" s="9"/>
      <c r="R78" s="9"/>
      <c r="S78" s="9"/>
      <c r="X78" s="9"/>
      <c r="Y78" s="9"/>
      <c r="AA78" s="9"/>
      <c r="AB78" s="9"/>
      <c r="AC78" s="9"/>
      <c r="AD78" s="9"/>
      <c r="AE78" s="9"/>
      <c r="AF78" s="9"/>
      <c r="AG78" s="9"/>
      <c r="AH78" s="9"/>
      <c r="AI78" s="9"/>
      <c r="AJ78" s="9"/>
      <c r="AL78" s="9"/>
      <c r="AM78" s="9"/>
      <c r="AN78" s="9"/>
      <c r="AO78" s="9"/>
      <c r="AP78" s="9"/>
      <c r="AQ78" s="9"/>
      <c r="AR78" s="9"/>
      <c r="AS78" s="9"/>
      <c r="AT78" s="9"/>
      <c r="AU78" s="10"/>
    </row>
    <row r="79">
      <c r="B79" s="9"/>
      <c r="F79" s="9"/>
      <c r="G79" s="9"/>
      <c r="L79" s="9"/>
      <c r="M79" s="9"/>
      <c r="R79" s="9"/>
      <c r="S79" s="9"/>
      <c r="X79" s="9"/>
      <c r="Y79" s="9"/>
      <c r="AA79" s="9"/>
      <c r="AB79" s="9"/>
      <c r="AC79" s="9"/>
      <c r="AD79" s="9"/>
      <c r="AE79" s="9"/>
      <c r="AF79" s="9"/>
      <c r="AG79" s="9"/>
      <c r="AH79" s="9"/>
      <c r="AI79" s="9"/>
      <c r="AJ79" s="9"/>
      <c r="AL79" s="9"/>
      <c r="AM79" s="9"/>
      <c r="AN79" s="9"/>
      <c r="AO79" s="9"/>
      <c r="AP79" s="9"/>
      <c r="AQ79" s="9"/>
      <c r="AR79" s="9"/>
      <c r="AS79" s="9"/>
      <c r="AT79" s="9"/>
      <c r="AU79" s="10"/>
    </row>
    <row r="80">
      <c r="B80" s="9"/>
      <c r="F80" s="9"/>
      <c r="G80" s="9"/>
      <c r="L80" s="9"/>
      <c r="M80" s="9"/>
      <c r="R80" s="9"/>
      <c r="S80" s="9"/>
      <c r="X80" s="9"/>
      <c r="Y80" s="9"/>
      <c r="AA80" s="9"/>
      <c r="AB80" s="9"/>
      <c r="AC80" s="9"/>
      <c r="AD80" s="9"/>
      <c r="AE80" s="9"/>
      <c r="AF80" s="9"/>
      <c r="AG80" s="9"/>
      <c r="AH80" s="9"/>
      <c r="AI80" s="9"/>
      <c r="AJ80" s="9"/>
      <c r="AL80" s="9"/>
      <c r="AM80" s="9"/>
      <c r="AN80" s="9"/>
      <c r="AO80" s="9"/>
      <c r="AP80" s="9"/>
      <c r="AQ80" s="9"/>
      <c r="AR80" s="9"/>
      <c r="AS80" s="9"/>
      <c r="AT80" s="9"/>
      <c r="AU80" s="10"/>
    </row>
    <row r="81">
      <c r="B81" s="9"/>
      <c r="F81" s="9"/>
      <c r="G81" s="9"/>
      <c r="L81" s="9"/>
      <c r="M81" s="9"/>
      <c r="R81" s="9"/>
      <c r="S81" s="9"/>
      <c r="X81" s="9"/>
      <c r="Y81" s="9"/>
      <c r="AA81" s="9"/>
      <c r="AB81" s="9"/>
      <c r="AC81" s="9"/>
      <c r="AD81" s="9"/>
      <c r="AE81" s="9"/>
      <c r="AF81" s="9"/>
      <c r="AG81" s="9"/>
      <c r="AH81" s="9"/>
      <c r="AI81" s="9"/>
      <c r="AJ81" s="9"/>
      <c r="AL81" s="9"/>
      <c r="AM81" s="9"/>
      <c r="AN81" s="9"/>
      <c r="AO81" s="9"/>
      <c r="AP81" s="9"/>
      <c r="AQ81" s="9"/>
      <c r="AR81" s="9"/>
      <c r="AS81" s="9"/>
      <c r="AT81" s="9"/>
      <c r="AU81" s="10"/>
    </row>
    <row r="82">
      <c r="B82" s="9"/>
      <c r="F82" s="9"/>
      <c r="G82" s="9"/>
      <c r="L82" s="9"/>
      <c r="M82" s="9"/>
      <c r="R82" s="9"/>
      <c r="S82" s="9"/>
      <c r="X82" s="9"/>
      <c r="Y82" s="9"/>
      <c r="AA82" s="9"/>
      <c r="AB82" s="9"/>
      <c r="AC82" s="9"/>
      <c r="AD82" s="9"/>
      <c r="AE82" s="9"/>
      <c r="AF82" s="9"/>
      <c r="AG82" s="9"/>
      <c r="AH82" s="9"/>
      <c r="AI82" s="9"/>
      <c r="AJ82" s="9"/>
      <c r="AL82" s="9"/>
      <c r="AM82" s="9"/>
      <c r="AN82" s="9"/>
      <c r="AO82" s="9"/>
      <c r="AP82" s="9"/>
      <c r="AQ82" s="9"/>
      <c r="AR82" s="9"/>
      <c r="AS82" s="9"/>
      <c r="AT82" s="9"/>
      <c r="AU82" s="10"/>
    </row>
    <row r="83">
      <c r="B83" s="9"/>
      <c r="F83" s="9"/>
      <c r="G83" s="9"/>
      <c r="L83" s="9"/>
      <c r="M83" s="9"/>
      <c r="R83" s="9"/>
      <c r="S83" s="9"/>
      <c r="X83" s="9"/>
      <c r="Y83" s="9"/>
      <c r="AA83" s="9"/>
      <c r="AB83" s="9"/>
      <c r="AC83" s="9"/>
      <c r="AD83" s="9"/>
      <c r="AE83" s="9"/>
      <c r="AF83" s="9"/>
      <c r="AG83" s="9"/>
      <c r="AH83" s="9"/>
      <c r="AI83" s="9"/>
      <c r="AJ83" s="9"/>
      <c r="AL83" s="9"/>
      <c r="AM83" s="9"/>
      <c r="AN83" s="9"/>
      <c r="AO83" s="9"/>
      <c r="AP83" s="9"/>
      <c r="AQ83" s="9"/>
      <c r="AR83" s="9"/>
      <c r="AS83" s="9"/>
      <c r="AT83" s="9"/>
      <c r="AU83" s="10"/>
    </row>
    <row r="84">
      <c r="B84" s="9"/>
      <c r="F84" s="9"/>
      <c r="G84" s="9"/>
      <c r="L84" s="9"/>
      <c r="M84" s="9"/>
      <c r="R84" s="9"/>
      <c r="S84" s="9"/>
      <c r="X84" s="9"/>
      <c r="Y84" s="9"/>
      <c r="AA84" s="9"/>
      <c r="AB84" s="9"/>
      <c r="AC84" s="9"/>
      <c r="AD84" s="9"/>
      <c r="AE84" s="9"/>
      <c r="AF84" s="9"/>
      <c r="AG84" s="9"/>
      <c r="AH84" s="9"/>
      <c r="AI84" s="9"/>
      <c r="AJ84" s="9"/>
      <c r="AL84" s="9"/>
      <c r="AM84" s="9"/>
      <c r="AN84" s="9"/>
      <c r="AO84" s="9"/>
      <c r="AP84" s="9"/>
      <c r="AQ84" s="9"/>
      <c r="AR84" s="9"/>
      <c r="AS84" s="9"/>
      <c r="AT84" s="9"/>
      <c r="AU84" s="10"/>
    </row>
    <row r="85">
      <c r="B85" s="9"/>
      <c r="F85" s="9"/>
      <c r="G85" s="9"/>
      <c r="L85" s="9"/>
      <c r="M85" s="9"/>
      <c r="R85" s="9"/>
      <c r="S85" s="9"/>
      <c r="X85" s="9"/>
      <c r="Y85" s="9"/>
      <c r="AA85" s="9"/>
      <c r="AB85" s="9"/>
      <c r="AC85" s="9"/>
      <c r="AD85" s="9"/>
      <c r="AE85" s="9"/>
      <c r="AF85" s="9"/>
      <c r="AG85" s="9"/>
      <c r="AH85" s="9"/>
      <c r="AI85" s="9"/>
      <c r="AJ85" s="9"/>
      <c r="AL85" s="9"/>
      <c r="AM85" s="9"/>
      <c r="AN85" s="9"/>
      <c r="AO85" s="9"/>
      <c r="AP85" s="9"/>
      <c r="AQ85" s="9"/>
      <c r="AR85" s="9"/>
      <c r="AS85" s="9"/>
      <c r="AT85" s="9"/>
      <c r="AU85" s="10"/>
    </row>
    <row r="86">
      <c r="B86" s="9"/>
      <c r="F86" s="9"/>
      <c r="G86" s="9"/>
      <c r="L86" s="9"/>
      <c r="M86" s="9"/>
      <c r="R86" s="9"/>
      <c r="S86" s="9"/>
      <c r="X86" s="9"/>
      <c r="Y86" s="9"/>
      <c r="AA86" s="9"/>
      <c r="AB86" s="9"/>
      <c r="AC86" s="9"/>
      <c r="AD86" s="9"/>
      <c r="AE86" s="9"/>
      <c r="AF86" s="9"/>
      <c r="AG86" s="9"/>
      <c r="AH86" s="9"/>
      <c r="AI86" s="9"/>
      <c r="AJ86" s="9"/>
      <c r="AL86" s="9"/>
      <c r="AM86" s="9"/>
      <c r="AN86" s="9"/>
      <c r="AO86" s="9"/>
      <c r="AP86" s="9"/>
      <c r="AQ86" s="9"/>
      <c r="AR86" s="9"/>
      <c r="AS86" s="9"/>
      <c r="AT86" s="9"/>
      <c r="AU86" s="10"/>
    </row>
    <row r="87">
      <c r="B87" s="9"/>
      <c r="F87" s="9"/>
      <c r="G87" s="9"/>
      <c r="L87" s="9"/>
      <c r="M87" s="9"/>
      <c r="R87" s="9"/>
      <c r="S87" s="9"/>
      <c r="X87" s="9"/>
      <c r="Y87" s="9"/>
      <c r="AA87" s="9"/>
      <c r="AB87" s="9"/>
      <c r="AC87" s="9"/>
      <c r="AD87" s="9"/>
      <c r="AE87" s="9"/>
      <c r="AF87" s="9"/>
      <c r="AG87" s="9"/>
      <c r="AH87" s="9"/>
      <c r="AI87" s="9"/>
      <c r="AJ87" s="9"/>
      <c r="AL87" s="9"/>
      <c r="AM87" s="9"/>
      <c r="AN87" s="9"/>
      <c r="AO87" s="9"/>
      <c r="AP87" s="9"/>
      <c r="AQ87" s="9"/>
      <c r="AR87" s="9"/>
      <c r="AS87" s="9"/>
      <c r="AT87" s="9"/>
      <c r="AU87" s="10"/>
    </row>
    <row r="88">
      <c r="B88" s="9"/>
      <c r="F88" s="9"/>
      <c r="G88" s="9"/>
      <c r="L88" s="9"/>
      <c r="M88" s="9"/>
      <c r="R88" s="9"/>
      <c r="S88" s="9"/>
      <c r="X88" s="9"/>
      <c r="Y88" s="9"/>
      <c r="AA88" s="9"/>
      <c r="AB88" s="9"/>
      <c r="AC88" s="9"/>
      <c r="AD88" s="9"/>
      <c r="AE88" s="9"/>
      <c r="AF88" s="9"/>
      <c r="AG88" s="9"/>
      <c r="AH88" s="9"/>
      <c r="AI88" s="9"/>
      <c r="AJ88" s="9"/>
      <c r="AL88" s="9"/>
      <c r="AM88" s="9"/>
      <c r="AN88" s="9"/>
      <c r="AO88" s="9"/>
      <c r="AP88" s="9"/>
      <c r="AQ88" s="9"/>
      <c r="AR88" s="9"/>
      <c r="AS88" s="9"/>
      <c r="AT88" s="9"/>
      <c r="AU88" s="10"/>
    </row>
    <row r="89">
      <c r="B89" s="9"/>
      <c r="F89" s="9"/>
      <c r="G89" s="9"/>
      <c r="L89" s="9"/>
      <c r="M89" s="9"/>
      <c r="R89" s="9"/>
      <c r="S89" s="9"/>
      <c r="X89" s="9"/>
      <c r="Y89" s="9"/>
      <c r="AA89" s="9"/>
      <c r="AB89" s="9"/>
      <c r="AC89" s="9"/>
      <c r="AD89" s="9"/>
      <c r="AE89" s="9"/>
      <c r="AF89" s="9"/>
      <c r="AG89" s="9"/>
      <c r="AH89" s="9"/>
      <c r="AI89" s="9"/>
      <c r="AJ89" s="9"/>
      <c r="AL89" s="9"/>
      <c r="AM89" s="9"/>
      <c r="AN89" s="9"/>
      <c r="AO89" s="9"/>
      <c r="AP89" s="9"/>
      <c r="AQ89" s="9"/>
      <c r="AR89" s="9"/>
      <c r="AS89" s="9"/>
      <c r="AT89" s="9"/>
      <c r="AU89" s="10"/>
    </row>
    <row r="90">
      <c r="B90" s="9"/>
      <c r="F90" s="9"/>
      <c r="G90" s="9"/>
      <c r="L90" s="9"/>
      <c r="M90" s="9"/>
      <c r="R90" s="9"/>
      <c r="S90" s="9"/>
      <c r="X90" s="9"/>
      <c r="Y90" s="9"/>
      <c r="AA90" s="9"/>
      <c r="AB90" s="9"/>
      <c r="AC90" s="9"/>
      <c r="AD90" s="9"/>
      <c r="AE90" s="9"/>
      <c r="AF90" s="9"/>
      <c r="AG90" s="9"/>
      <c r="AH90" s="9"/>
      <c r="AI90" s="9"/>
      <c r="AJ90" s="9"/>
      <c r="AL90" s="9"/>
      <c r="AM90" s="9"/>
      <c r="AN90" s="9"/>
      <c r="AO90" s="9"/>
      <c r="AP90" s="9"/>
      <c r="AQ90" s="9"/>
      <c r="AR90" s="9"/>
      <c r="AS90" s="9"/>
      <c r="AT90" s="9"/>
      <c r="AU90" s="10"/>
    </row>
    <row r="91">
      <c r="B91" s="9"/>
      <c r="F91" s="9"/>
      <c r="G91" s="9"/>
      <c r="L91" s="9"/>
      <c r="M91" s="9"/>
      <c r="R91" s="9"/>
      <c r="S91" s="9"/>
      <c r="X91" s="9"/>
      <c r="Y91" s="9"/>
      <c r="AA91" s="9"/>
      <c r="AB91" s="9"/>
      <c r="AC91" s="9"/>
      <c r="AD91" s="9"/>
      <c r="AE91" s="9"/>
      <c r="AF91" s="9"/>
      <c r="AG91" s="9"/>
      <c r="AH91" s="9"/>
      <c r="AI91" s="9"/>
      <c r="AJ91" s="9"/>
      <c r="AL91" s="9"/>
      <c r="AM91" s="9"/>
      <c r="AN91" s="9"/>
      <c r="AO91" s="9"/>
      <c r="AP91" s="9"/>
      <c r="AQ91" s="9"/>
      <c r="AR91" s="9"/>
      <c r="AS91" s="9"/>
      <c r="AT91" s="9"/>
      <c r="AU91" s="10"/>
    </row>
    <row r="92">
      <c r="B92" s="9"/>
      <c r="F92" s="9"/>
      <c r="G92" s="9"/>
      <c r="L92" s="9"/>
      <c r="M92" s="9"/>
      <c r="R92" s="9"/>
      <c r="S92" s="9"/>
      <c r="X92" s="9"/>
      <c r="Y92" s="9"/>
      <c r="AA92" s="9"/>
      <c r="AB92" s="9"/>
      <c r="AC92" s="9"/>
      <c r="AD92" s="9"/>
      <c r="AE92" s="9"/>
      <c r="AF92" s="9"/>
      <c r="AG92" s="9"/>
      <c r="AH92" s="9"/>
      <c r="AI92" s="9"/>
      <c r="AJ92" s="9"/>
      <c r="AL92" s="9"/>
      <c r="AM92" s="9"/>
      <c r="AN92" s="9"/>
      <c r="AO92" s="9"/>
      <c r="AP92" s="9"/>
      <c r="AQ92" s="9"/>
      <c r="AR92" s="9"/>
      <c r="AS92" s="9"/>
      <c r="AT92" s="9"/>
      <c r="AU92" s="10"/>
    </row>
    <row r="93">
      <c r="B93" s="9"/>
      <c r="F93" s="9"/>
      <c r="G93" s="9"/>
      <c r="L93" s="9"/>
      <c r="M93" s="9"/>
      <c r="R93" s="9"/>
      <c r="S93" s="9"/>
      <c r="X93" s="9"/>
      <c r="Y93" s="9"/>
      <c r="AA93" s="9"/>
      <c r="AB93" s="9"/>
      <c r="AC93" s="9"/>
      <c r="AD93" s="9"/>
      <c r="AE93" s="9"/>
      <c r="AF93" s="9"/>
      <c r="AG93" s="9"/>
      <c r="AH93" s="9"/>
      <c r="AI93" s="9"/>
      <c r="AJ93" s="9"/>
      <c r="AL93" s="9"/>
      <c r="AM93" s="9"/>
      <c r="AN93" s="9"/>
      <c r="AO93" s="9"/>
      <c r="AP93" s="9"/>
      <c r="AQ93" s="9"/>
      <c r="AR93" s="9"/>
      <c r="AS93" s="9"/>
      <c r="AT93" s="9"/>
      <c r="AU93" s="10"/>
    </row>
    <row r="94">
      <c r="B94" s="9"/>
      <c r="F94" s="9"/>
      <c r="G94" s="9"/>
      <c r="L94" s="9"/>
      <c r="M94" s="9"/>
      <c r="R94" s="9"/>
      <c r="S94" s="9"/>
      <c r="X94" s="9"/>
      <c r="Y94" s="9"/>
      <c r="AA94" s="9"/>
      <c r="AB94" s="9"/>
      <c r="AC94" s="9"/>
      <c r="AD94" s="9"/>
      <c r="AE94" s="9"/>
      <c r="AF94" s="9"/>
      <c r="AG94" s="9"/>
      <c r="AH94" s="9"/>
      <c r="AI94" s="9"/>
      <c r="AJ94" s="9"/>
      <c r="AL94" s="9"/>
      <c r="AM94" s="9"/>
      <c r="AN94" s="9"/>
      <c r="AO94" s="9"/>
      <c r="AP94" s="9"/>
      <c r="AQ94" s="9"/>
      <c r="AR94" s="9"/>
      <c r="AS94" s="9"/>
      <c r="AT94" s="9"/>
      <c r="AU94" s="10"/>
    </row>
    <row r="95">
      <c r="B95" s="9"/>
      <c r="F95" s="9"/>
      <c r="G95" s="9"/>
      <c r="L95" s="9"/>
      <c r="M95" s="9"/>
      <c r="R95" s="9"/>
      <c r="S95" s="9"/>
      <c r="X95" s="9"/>
      <c r="Y95" s="9"/>
      <c r="AA95" s="9"/>
      <c r="AB95" s="9"/>
      <c r="AC95" s="9"/>
      <c r="AD95" s="9"/>
      <c r="AE95" s="9"/>
      <c r="AF95" s="9"/>
      <c r="AG95" s="9"/>
      <c r="AH95" s="9"/>
      <c r="AI95" s="9"/>
      <c r="AJ95" s="9"/>
      <c r="AL95" s="9"/>
      <c r="AM95" s="9"/>
      <c r="AN95" s="9"/>
      <c r="AO95" s="9"/>
      <c r="AP95" s="9"/>
      <c r="AQ95" s="9"/>
      <c r="AR95" s="9"/>
      <c r="AS95" s="9"/>
      <c r="AT95" s="9"/>
      <c r="AU95" s="10"/>
    </row>
    <row r="96">
      <c r="B96" s="9"/>
      <c r="F96" s="9"/>
      <c r="G96" s="9"/>
      <c r="L96" s="9"/>
      <c r="M96" s="9"/>
      <c r="R96" s="9"/>
      <c r="S96" s="9"/>
      <c r="X96" s="9"/>
      <c r="Y96" s="9"/>
      <c r="AA96" s="9"/>
      <c r="AB96" s="9"/>
      <c r="AC96" s="9"/>
      <c r="AD96" s="9"/>
      <c r="AE96" s="9"/>
      <c r="AF96" s="9"/>
      <c r="AG96" s="9"/>
      <c r="AH96" s="9"/>
      <c r="AI96" s="9"/>
      <c r="AJ96" s="9"/>
      <c r="AL96" s="9"/>
      <c r="AM96" s="9"/>
      <c r="AN96" s="9"/>
      <c r="AO96" s="9"/>
      <c r="AP96" s="9"/>
      <c r="AQ96" s="9"/>
      <c r="AR96" s="9"/>
      <c r="AS96" s="9"/>
      <c r="AT96" s="9"/>
      <c r="AU96" s="10"/>
    </row>
    <row r="97">
      <c r="B97" s="9"/>
      <c r="F97" s="9"/>
      <c r="G97" s="9"/>
      <c r="L97" s="9"/>
      <c r="M97" s="9"/>
      <c r="R97" s="9"/>
      <c r="S97" s="9"/>
      <c r="X97" s="9"/>
      <c r="Y97" s="9"/>
      <c r="AA97" s="9"/>
      <c r="AB97" s="9"/>
      <c r="AC97" s="9"/>
      <c r="AD97" s="9"/>
      <c r="AE97" s="9"/>
      <c r="AF97" s="9"/>
      <c r="AG97" s="9"/>
      <c r="AH97" s="9"/>
      <c r="AI97" s="9"/>
      <c r="AJ97" s="9"/>
      <c r="AL97" s="9"/>
      <c r="AM97" s="9"/>
      <c r="AN97" s="9"/>
      <c r="AO97" s="9"/>
      <c r="AP97" s="9"/>
      <c r="AQ97" s="9"/>
      <c r="AR97" s="9"/>
      <c r="AS97" s="9"/>
      <c r="AT97" s="9"/>
      <c r="AU97" s="10"/>
    </row>
    <row r="98">
      <c r="B98" s="9"/>
      <c r="F98" s="9"/>
      <c r="G98" s="9"/>
      <c r="L98" s="9"/>
      <c r="M98" s="9"/>
      <c r="R98" s="9"/>
      <c r="S98" s="9"/>
      <c r="X98" s="9"/>
      <c r="Y98" s="9"/>
      <c r="AA98" s="9"/>
      <c r="AB98" s="9"/>
      <c r="AC98" s="9"/>
      <c r="AD98" s="9"/>
      <c r="AE98" s="9"/>
      <c r="AF98" s="9"/>
      <c r="AG98" s="9"/>
      <c r="AH98" s="9"/>
      <c r="AI98" s="9"/>
      <c r="AJ98" s="9"/>
      <c r="AL98" s="9"/>
      <c r="AM98" s="9"/>
      <c r="AN98" s="9"/>
      <c r="AO98" s="9"/>
      <c r="AP98" s="9"/>
      <c r="AQ98" s="9"/>
      <c r="AR98" s="9"/>
      <c r="AS98" s="9"/>
      <c r="AT98" s="9"/>
      <c r="AU98" s="10"/>
    </row>
    <row r="99">
      <c r="B99" s="9"/>
      <c r="F99" s="9"/>
      <c r="G99" s="9"/>
      <c r="L99" s="9"/>
      <c r="M99" s="9"/>
      <c r="R99" s="9"/>
      <c r="S99" s="9"/>
      <c r="X99" s="9"/>
      <c r="Y99" s="9"/>
      <c r="AA99" s="9"/>
      <c r="AB99" s="9"/>
      <c r="AC99" s="9"/>
      <c r="AD99" s="9"/>
      <c r="AE99" s="9"/>
      <c r="AF99" s="9"/>
      <c r="AG99" s="9"/>
      <c r="AH99" s="9"/>
      <c r="AI99" s="9"/>
      <c r="AJ99" s="9"/>
      <c r="AL99" s="9"/>
      <c r="AM99" s="9"/>
      <c r="AN99" s="9"/>
      <c r="AO99" s="9"/>
      <c r="AP99" s="9"/>
      <c r="AQ99" s="9"/>
      <c r="AR99" s="9"/>
      <c r="AS99" s="9"/>
      <c r="AT99" s="9"/>
      <c r="AU99" s="10"/>
    </row>
    <row r="100">
      <c r="B100" s="9"/>
      <c r="F100" s="9"/>
      <c r="G100" s="9"/>
      <c r="L100" s="9"/>
      <c r="M100" s="9"/>
      <c r="R100" s="9"/>
      <c r="S100" s="9"/>
      <c r="X100" s="9"/>
      <c r="Y100" s="9"/>
      <c r="AA100" s="9"/>
      <c r="AB100" s="9"/>
      <c r="AC100" s="9"/>
      <c r="AD100" s="9"/>
      <c r="AE100" s="9"/>
      <c r="AF100" s="9"/>
      <c r="AG100" s="9"/>
      <c r="AH100" s="9"/>
      <c r="AI100" s="9"/>
      <c r="AJ100" s="9"/>
      <c r="AL100" s="9"/>
      <c r="AM100" s="9"/>
      <c r="AN100" s="9"/>
      <c r="AO100" s="9"/>
      <c r="AP100" s="9"/>
      <c r="AQ100" s="9"/>
      <c r="AR100" s="9"/>
      <c r="AS100" s="9"/>
      <c r="AT100" s="9"/>
      <c r="AU100" s="10"/>
    </row>
    <row r="101">
      <c r="AU101" s="10"/>
    </row>
    <row r="102">
      <c r="AU102" s="10"/>
    </row>
    <row r="103">
      <c r="AU103" s="10"/>
    </row>
    <row r="104">
      <c r="AU104" s="10"/>
    </row>
    <row r="105">
      <c r="AU105" s="10"/>
    </row>
    <row r="106">
      <c r="AU106" s="10"/>
    </row>
    <row r="107">
      <c r="AU107" s="10"/>
    </row>
    <row r="108">
      <c r="AU108" s="10"/>
    </row>
    <row r="109">
      <c r="AU109" s="10"/>
    </row>
    <row r="110">
      <c r="AU110" s="10"/>
    </row>
    <row r="111">
      <c r="AU111" s="10"/>
    </row>
    <row r="112">
      <c r="AU112" s="10"/>
    </row>
    <row r="113">
      <c r="AU113" s="10"/>
    </row>
    <row r="114">
      <c r="AU114" s="10"/>
    </row>
    <row r="115">
      <c r="AU115" s="10"/>
    </row>
    <row r="116">
      <c r="AU116" s="10"/>
    </row>
    <row r="117">
      <c r="AU117" s="10"/>
    </row>
    <row r="118">
      <c r="AU118" s="10"/>
    </row>
    <row r="119">
      <c r="AU119" s="10"/>
    </row>
    <row r="120">
      <c r="AU120" s="10"/>
    </row>
    <row r="121">
      <c r="AU121" s="10"/>
    </row>
    <row r="122">
      <c r="AU122" s="10"/>
    </row>
    <row r="123">
      <c r="AU123" s="10"/>
    </row>
    <row r="124">
      <c r="AU124" s="10"/>
    </row>
    <row r="125">
      <c r="AU125" s="10"/>
    </row>
    <row r="126">
      <c r="AU126" s="10"/>
    </row>
    <row r="127">
      <c r="AU127" s="10"/>
    </row>
    <row r="128">
      <c r="AU128" s="10"/>
    </row>
    <row r="129">
      <c r="AU129" s="10"/>
    </row>
    <row r="130">
      <c r="AU130" s="10"/>
    </row>
    <row r="131">
      <c r="AU131" s="10"/>
    </row>
    <row r="132">
      <c r="AU132" s="10"/>
    </row>
    <row r="133">
      <c r="AU133" s="10"/>
    </row>
    <row r="134">
      <c r="AU134" s="10"/>
    </row>
    <row r="135">
      <c r="AU135" s="10"/>
    </row>
    <row r="136">
      <c r="AU136" s="10"/>
    </row>
    <row r="137">
      <c r="AU137" s="10"/>
    </row>
    <row r="138">
      <c r="AU138" s="10"/>
    </row>
    <row r="139">
      <c r="AU139" s="10"/>
    </row>
    <row r="140">
      <c r="AU140" s="10"/>
    </row>
    <row r="141">
      <c r="AU141" s="10"/>
    </row>
    <row r="142">
      <c r="AU142" s="10"/>
    </row>
    <row r="143">
      <c r="AU143" s="10"/>
    </row>
    <row r="144">
      <c r="AU144" s="10"/>
    </row>
    <row r="145">
      <c r="AU145" s="10"/>
    </row>
    <row r="146">
      <c r="AU146" s="10"/>
    </row>
    <row r="147">
      <c r="AU147" s="10"/>
    </row>
    <row r="148">
      <c r="AU148" s="10"/>
    </row>
    <row r="149">
      <c r="AU149" s="10"/>
    </row>
    <row r="150">
      <c r="AU150" s="10"/>
    </row>
    <row r="151">
      <c r="AU151" s="10"/>
    </row>
    <row r="152">
      <c r="AU152" s="10"/>
    </row>
    <row r="153">
      <c r="AU153" s="10"/>
    </row>
    <row r="154">
      <c r="AU154" s="10"/>
    </row>
    <row r="155">
      <c r="AU155" s="10"/>
    </row>
    <row r="156">
      <c r="AU156" s="10"/>
    </row>
    <row r="157">
      <c r="AU157" s="10"/>
    </row>
    <row r="158">
      <c r="AU158" s="10"/>
    </row>
    <row r="159">
      <c r="AU159" s="10"/>
    </row>
    <row r="160">
      <c r="AU160" s="10"/>
    </row>
    <row r="161">
      <c r="AU161" s="10"/>
    </row>
    <row r="162">
      <c r="AU162" s="10"/>
    </row>
    <row r="163">
      <c r="AU163" s="10"/>
    </row>
    <row r="164">
      <c r="AU164" s="10"/>
    </row>
    <row r="165">
      <c r="AU165" s="10"/>
    </row>
    <row r="166">
      <c r="AU166" s="10"/>
    </row>
    <row r="167">
      <c r="AU167" s="10"/>
    </row>
    <row r="168">
      <c r="AU168" s="10"/>
    </row>
    <row r="169">
      <c r="AU169" s="10"/>
    </row>
    <row r="170">
      <c r="AU170" s="10"/>
    </row>
    <row r="171">
      <c r="AU171" s="10"/>
    </row>
    <row r="172">
      <c r="AU172" s="10"/>
    </row>
    <row r="173">
      <c r="AU173" s="10"/>
    </row>
    <row r="174">
      <c r="AU174" s="10"/>
    </row>
    <row r="175">
      <c r="AU175" s="10"/>
    </row>
    <row r="176">
      <c r="AU176" s="10"/>
    </row>
    <row r="177">
      <c r="AU177" s="10"/>
    </row>
    <row r="178">
      <c r="AU178" s="10"/>
    </row>
    <row r="179">
      <c r="AU179" s="10"/>
    </row>
    <row r="180">
      <c r="AU180" s="10"/>
    </row>
    <row r="181">
      <c r="AU181" s="10"/>
    </row>
    <row r="182">
      <c r="AU182" s="10"/>
    </row>
    <row r="183">
      <c r="AU183" s="10"/>
    </row>
    <row r="184">
      <c r="AU184" s="10"/>
    </row>
    <row r="185">
      <c r="AU185" s="10"/>
    </row>
    <row r="186">
      <c r="AU186" s="10"/>
    </row>
    <row r="187">
      <c r="AU187" s="10"/>
    </row>
    <row r="188">
      <c r="AU188" s="10"/>
    </row>
    <row r="189">
      <c r="AU189" s="10"/>
    </row>
    <row r="190">
      <c r="AU190" s="10"/>
    </row>
    <row r="191">
      <c r="AU191" s="10"/>
    </row>
    <row r="192">
      <c r="AU192" s="10"/>
    </row>
    <row r="193">
      <c r="AU193" s="10"/>
    </row>
    <row r="194">
      <c r="AU194" s="10"/>
    </row>
    <row r="195">
      <c r="AU195" s="10"/>
    </row>
    <row r="196">
      <c r="AU196" s="10"/>
    </row>
    <row r="197">
      <c r="AU197" s="10"/>
    </row>
    <row r="198">
      <c r="AU198" s="10"/>
    </row>
    <row r="199">
      <c r="AU199" s="10"/>
    </row>
    <row r="200">
      <c r="AU200" s="10"/>
    </row>
    <row r="201">
      <c r="AU201" s="10"/>
    </row>
    <row r="202">
      <c r="AU202" s="10"/>
    </row>
    <row r="203">
      <c r="AU203" s="10"/>
    </row>
    <row r="204">
      <c r="AU204" s="10"/>
    </row>
    <row r="205">
      <c r="AU205" s="10"/>
    </row>
    <row r="206">
      <c r="AU206" s="10"/>
    </row>
    <row r="207">
      <c r="AU207" s="10"/>
    </row>
    <row r="208">
      <c r="AU208" s="10"/>
    </row>
    <row r="209">
      <c r="AU209" s="10"/>
    </row>
    <row r="210">
      <c r="AU210" s="10"/>
    </row>
    <row r="211">
      <c r="AU211" s="10"/>
    </row>
    <row r="212">
      <c r="AU212" s="10"/>
    </row>
    <row r="213">
      <c r="AU213" s="10"/>
    </row>
    <row r="214">
      <c r="AU214" s="10"/>
    </row>
    <row r="215">
      <c r="AU215" s="10"/>
    </row>
    <row r="216">
      <c r="AU216" s="10"/>
    </row>
    <row r="217">
      <c r="AU217" s="10"/>
    </row>
    <row r="218">
      <c r="AU218" s="10"/>
    </row>
    <row r="219">
      <c r="AU219" s="10"/>
    </row>
    <row r="220">
      <c r="AU220" s="10"/>
    </row>
    <row r="221">
      <c r="AU221" s="10"/>
    </row>
    <row r="222">
      <c r="AU222" s="10"/>
    </row>
    <row r="223">
      <c r="AU223" s="10"/>
    </row>
    <row r="224">
      <c r="AU224" s="10"/>
    </row>
    <row r="225">
      <c r="AU225" s="10"/>
    </row>
    <row r="226">
      <c r="AU226" s="10"/>
    </row>
    <row r="227">
      <c r="AU227" s="10"/>
    </row>
    <row r="228">
      <c r="AU228" s="10"/>
    </row>
    <row r="229">
      <c r="AU229" s="10"/>
    </row>
    <row r="230">
      <c r="AU230" s="10"/>
    </row>
    <row r="231">
      <c r="AU231" s="10"/>
    </row>
    <row r="232">
      <c r="AU232" s="10"/>
    </row>
    <row r="233">
      <c r="AU233" s="10"/>
    </row>
    <row r="234">
      <c r="AU234" s="10"/>
    </row>
    <row r="235">
      <c r="AU235" s="10"/>
    </row>
    <row r="236">
      <c r="AU236" s="10"/>
    </row>
    <row r="237">
      <c r="AU237" s="10"/>
    </row>
    <row r="238">
      <c r="AU238" s="10"/>
    </row>
    <row r="239">
      <c r="AU239" s="10"/>
    </row>
    <row r="240">
      <c r="AU240" s="10"/>
    </row>
    <row r="241">
      <c r="AU241" s="10"/>
    </row>
    <row r="242">
      <c r="AU242" s="10"/>
    </row>
    <row r="243">
      <c r="AU243" s="10"/>
    </row>
    <row r="244">
      <c r="AU244" s="10"/>
    </row>
    <row r="245">
      <c r="AU245" s="10"/>
    </row>
    <row r="246">
      <c r="AU246" s="10"/>
    </row>
    <row r="247">
      <c r="AU247" s="10"/>
    </row>
    <row r="248">
      <c r="AU248" s="10"/>
    </row>
    <row r="249">
      <c r="AU249" s="10"/>
    </row>
    <row r="250">
      <c r="AU250" s="10"/>
    </row>
    <row r="251">
      <c r="AU251" s="10"/>
    </row>
    <row r="252">
      <c r="AU252" s="10"/>
    </row>
    <row r="253">
      <c r="AU253" s="10"/>
    </row>
    <row r="254">
      <c r="AU254" s="10"/>
    </row>
    <row r="255">
      <c r="AU255" s="10"/>
    </row>
    <row r="256">
      <c r="AU256" s="10"/>
    </row>
    <row r="257">
      <c r="AU257" s="10"/>
    </row>
    <row r="258">
      <c r="AU258" s="10"/>
    </row>
    <row r="259">
      <c r="AU259" s="10"/>
    </row>
    <row r="260">
      <c r="AU260" s="10"/>
    </row>
    <row r="261">
      <c r="AU261" s="10"/>
    </row>
    <row r="262">
      <c r="AU262" s="10"/>
    </row>
    <row r="263">
      <c r="AU263" s="10"/>
    </row>
    <row r="264">
      <c r="AU264" s="10"/>
    </row>
    <row r="265">
      <c r="AU265" s="10"/>
    </row>
    <row r="266">
      <c r="AU266" s="10"/>
    </row>
    <row r="267">
      <c r="AU267" s="10"/>
    </row>
    <row r="268">
      <c r="AU268" s="10"/>
    </row>
    <row r="269">
      <c r="AU269" s="10"/>
    </row>
    <row r="270">
      <c r="AU270" s="10"/>
    </row>
    <row r="271">
      <c r="AU271" s="10"/>
    </row>
    <row r="272">
      <c r="AU272" s="10"/>
    </row>
    <row r="273">
      <c r="AU273" s="10"/>
    </row>
    <row r="274">
      <c r="AU274" s="10"/>
    </row>
    <row r="275">
      <c r="AU275" s="10"/>
    </row>
    <row r="276">
      <c r="AU276" s="10"/>
    </row>
    <row r="277">
      <c r="AU277" s="10"/>
    </row>
    <row r="278">
      <c r="AU278" s="10"/>
    </row>
    <row r="279">
      <c r="AU279" s="10"/>
    </row>
    <row r="280">
      <c r="AU280" s="10"/>
    </row>
    <row r="281">
      <c r="AU281" s="10"/>
    </row>
    <row r="282">
      <c r="AU282" s="10"/>
    </row>
    <row r="283">
      <c r="AU283" s="10"/>
    </row>
    <row r="284">
      <c r="AU284" s="10"/>
    </row>
    <row r="285">
      <c r="AU285" s="10"/>
    </row>
    <row r="286">
      <c r="AU286" s="10"/>
    </row>
    <row r="287">
      <c r="AU287" s="10"/>
    </row>
    <row r="288">
      <c r="AU288" s="10"/>
    </row>
    <row r="289">
      <c r="AU289" s="10"/>
    </row>
    <row r="290">
      <c r="AU290" s="10"/>
    </row>
    <row r="291">
      <c r="AU291" s="10"/>
    </row>
    <row r="292">
      <c r="AU292" s="10"/>
    </row>
    <row r="293">
      <c r="AU293" s="10"/>
    </row>
    <row r="294">
      <c r="AU294" s="10"/>
    </row>
    <row r="295">
      <c r="AU295" s="10"/>
    </row>
    <row r="296">
      <c r="AU296" s="10"/>
    </row>
    <row r="297">
      <c r="AU297" s="10"/>
    </row>
    <row r="298">
      <c r="AU298" s="10"/>
    </row>
    <row r="299">
      <c r="AU299" s="10"/>
    </row>
    <row r="300">
      <c r="AU300" s="10"/>
    </row>
    <row r="301">
      <c r="AU301" s="10"/>
    </row>
    <row r="302">
      <c r="AU302" s="10"/>
    </row>
    <row r="303">
      <c r="AU303" s="10"/>
    </row>
    <row r="304">
      <c r="AU304" s="10"/>
    </row>
    <row r="305">
      <c r="AU305" s="10"/>
    </row>
    <row r="306">
      <c r="AU306" s="10"/>
    </row>
    <row r="307">
      <c r="AU307" s="10"/>
    </row>
    <row r="308">
      <c r="AU308" s="10"/>
    </row>
    <row r="309">
      <c r="AU309" s="10"/>
    </row>
    <row r="310">
      <c r="AU310" s="10"/>
    </row>
    <row r="311">
      <c r="AU311" s="10"/>
    </row>
    <row r="312">
      <c r="AU312" s="10"/>
    </row>
    <row r="313">
      <c r="AU313" s="10"/>
    </row>
    <row r="314">
      <c r="AU314" s="10"/>
    </row>
    <row r="315">
      <c r="AU315" s="10"/>
    </row>
    <row r="316">
      <c r="AU316" s="10"/>
    </row>
    <row r="317">
      <c r="AU317" s="10"/>
    </row>
    <row r="318">
      <c r="AU318" s="10"/>
    </row>
    <row r="319">
      <c r="AU319" s="10"/>
    </row>
    <row r="320">
      <c r="AU320" s="10"/>
    </row>
    <row r="321">
      <c r="AU321" s="10"/>
    </row>
    <row r="322">
      <c r="AU322" s="10"/>
    </row>
    <row r="323">
      <c r="AU323" s="10"/>
    </row>
    <row r="324">
      <c r="AU324" s="10"/>
    </row>
    <row r="325">
      <c r="AU325" s="10"/>
    </row>
    <row r="326">
      <c r="AU326" s="10"/>
    </row>
    <row r="327">
      <c r="AU327" s="10"/>
    </row>
    <row r="328">
      <c r="AU328" s="10"/>
    </row>
    <row r="329">
      <c r="AU329" s="10"/>
    </row>
    <row r="330">
      <c r="AU330" s="10"/>
    </row>
    <row r="331">
      <c r="AU331" s="10"/>
    </row>
    <row r="332">
      <c r="AU332" s="10"/>
    </row>
    <row r="333">
      <c r="AU333" s="10"/>
    </row>
    <row r="334">
      <c r="AU334" s="10"/>
    </row>
    <row r="335">
      <c r="AU335" s="10"/>
    </row>
    <row r="336">
      <c r="AU336" s="10"/>
    </row>
    <row r="337">
      <c r="AU337" s="10"/>
    </row>
    <row r="338">
      <c r="AU338" s="10"/>
    </row>
    <row r="339">
      <c r="AU339" s="10"/>
    </row>
    <row r="340">
      <c r="AU340" s="10"/>
    </row>
    <row r="341">
      <c r="AU341" s="10"/>
    </row>
    <row r="342">
      <c r="AU342" s="10"/>
    </row>
    <row r="343">
      <c r="AU343" s="10"/>
    </row>
    <row r="344">
      <c r="AU344" s="10"/>
    </row>
    <row r="345">
      <c r="AU345" s="10"/>
    </row>
    <row r="346">
      <c r="AU346" s="10"/>
    </row>
    <row r="347">
      <c r="AU347" s="10"/>
    </row>
    <row r="348">
      <c r="AU348" s="10"/>
    </row>
    <row r="349">
      <c r="AU349" s="10"/>
    </row>
    <row r="350">
      <c r="AU350" s="10"/>
    </row>
    <row r="351">
      <c r="AU351" s="10"/>
    </row>
    <row r="352">
      <c r="AU352" s="10"/>
    </row>
    <row r="353">
      <c r="AU353" s="10"/>
    </row>
    <row r="354">
      <c r="AU354" s="10"/>
    </row>
    <row r="355">
      <c r="AU355" s="10"/>
    </row>
    <row r="356">
      <c r="AU356" s="10"/>
    </row>
    <row r="357">
      <c r="AU357" s="10"/>
    </row>
    <row r="358">
      <c r="AU358" s="10"/>
    </row>
    <row r="359">
      <c r="AU359" s="10"/>
    </row>
    <row r="360">
      <c r="AU360" s="10"/>
    </row>
    <row r="361">
      <c r="AU361" s="10"/>
    </row>
    <row r="362">
      <c r="AU362" s="10"/>
    </row>
    <row r="363">
      <c r="AU363" s="10"/>
    </row>
    <row r="364">
      <c r="AU364" s="10"/>
    </row>
    <row r="365">
      <c r="AU365" s="10"/>
    </row>
    <row r="366">
      <c r="AU366" s="10"/>
    </row>
    <row r="367">
      <c r="AU367" s="10"/>
    </row>
    <row r="368">
      <c r="AU368" s="10"/>
    </row>
    <row r="369">
      <c r="AU369" s="10"/>
    </row>
    <row r="370">
      <c r="AU370" s="10"/>
    </row>
    <row r="371">
      <c r="AU371" s="10"/>
    </row>
    <row r="372">
      <c r="AU372" s="10"/>
    </row>
    <row r="373">
      <c r="AU373" s="10"/>
    </row>
    <row r="374">
      <c r="AU374" s="10"/>
    </row>
    <row r="375">
      <c r="AU375" s="10"/>
    </row>
    <row r="376">
      <c r="AU376" s="10"/>
    </row>
    <row r="377">
      <c r="AU377" s="10"/>
    </row>
    <row r="378">
      <c r="AU378" s="10"/>
    </row>
    <row r="379">
      <c r="AU379" s="10"/>
    </row>
    <row r="380">
      <c r="AU380" s="10"/>
    </row>
    <row r="381">
      <c r="AU381" s="10"/>
    </row>
    <row r="382">
      <c r="AU382" s="10"/>
    </row>
    <row r="383">
      <c r="AU383" s="10"/>
    </row>
    <row r="384">
      <c r="AU384" s="10"/>
    </row>
    <row r="385">
      <c r="AU385" s="10"/>
    </row>
    <row r="386">
      <c r="AU386" s="10"/>
    </row>
    <row r="387">
      <c r="AU387" s="10"/>
    </row>
    <row r="388">
      <c r="AU388" s="10"/>
    </row>
    <row r="389">
      <c r="AU389" s="10"/>
    </row>
    <row r="390">
      <c r="AU390" s="10"/>
    </row>
    <row r="391">
      <c r="AU391" s="10"/>
    </row>
    <row r="392">
      <c r="AU392" s="10"/>
    </row>
    <row r="393">
      <c r="AU393" s="10"/>
    </row>
    <row r="394">
      <c r="AU394" s="10"/>
    </row>
    <row r="395">
      <c r="AU395" s="10"/>
    </row>
    <row r="396">
      <c r="AU396" s="10"/>
    </row>
    <row r="397">
      <c r="AU397" s="10"/>
    </row>
    <row r="398">
      <c r="AU398" s="10"/>
    </row>
    <row r="399">
      <c r="AU399" s="10"/>
    </row>
    <row r="400">
      <c r="AU400" s="10"/>
    </row>
    <row r="401">
      <c r="AU401" s="10"/>
    </row>
    <row r="402">
      <c r="AU402" s="10"/>
    </row>
    <row r="403">
      <c r="AU403" s="10"/>
    </row>
    <row r="404">
      <c r="AU404" s="10"/>
    </row>
    <row r="405">
      <c r="AU405" s="10"/>
    </row>
    <row r="406">
      <c r="AU406" s="10"/>
    </row>
    <row r="407">
      <c r="AU407" s="10"/>
    </row>
    <row r="408">
      <c r="AU408" s="10"/>
    </row>
    <row r="409">
      <c r="AU409" s="10"/>
    </row>
    <row r="410">
      <c r="AU410" s="10"/>
    </row>
    <row r="411">
      <c r="AU411" s="10"/>
    </row>
    <row r="412">
      <c r="AU412" s="10"/>
    </row>
    <row r="413">
      <c r="AU413" s="10"/>
    </row>
    <row r="414">
      <c r="AU414" s="10"/>
    </row>
    <row r="415">
      <c r="AU415" s="10"/>
    </row>
    <row r="416">
      <c r="AU416" s="10"/>
    </row>
    <row r="417">
      <c r="AU417" s="10"/>
    </row>
    <row r="418">
      <c r="AU418" s="10"/>
    </row>
    <row r="419">
      <c r="AU419" s="10"/>
    </row>
    <row r="420">
      <c r="AU420" s="10"/>
    </row>
    <row r="421">
      <c r="AU421" s="10"/>
    </row>
    <row r="422">
      <c r="AU422" s="10"/>
    </row>
    <row r="423">
      <c r="AU423" s="10"/>
    </row>
    <row r="424">
      <c r="AU424" s="10"/>
    </row>
    <row r="425">
      <c r="AU425" s="10"/>
    </row>
    <row r="426">
      <c r="AU426" s="10"/>
    </row>
    <row r="427">
      <c r="AU427" s="10"/>
    </row>
    <row r="428">
      <c r="AU428" s="10"/>
    </row>
    <row r="429">
      <c r="AU429" s="10"/>
    </row>
    <row r="430">
      <c r="AU430" s="10"/>
    </row>
    <row r="431">
      <c r="AU431" s="10"/>
    </row>
    <row r="432">
      <c r="AU432" s="10"/>
    </row>
    <row r="433">
      <c r="AU433" s="10"/>
    </row>
    <row r="434">
      <c r="AU434" s="10"/>
    </row>
    <row r="435">
      <c r="AU435" s="10"/>
    </row>
    <row r="436">
      <c r="AU436" s="10"/>
    </row>
    <row r="437">
      <c r="AU437" s="10"/>
    </row>
    <row r="438">
      <c r="AU438" s="10"/>
    </row>
    <row r="439">
      <c r="AU439" s="10"/>
    </row>
    <row r="440">
      <c r="AU440" s="10"/>
    </row>
    <row r="441">
      <c r="AU441" s="10"/>
    </row>
    <row r="442">
      <c r="AU442" s="10"/>
    </row>
    <row r="443">
      <c r="AU443" s="10"/>
    </row>
    <row r="444">
      <c r="AU444" s="10"/>
    </row>
    <row r="445">
      <c r="AU445" s="10"/>
    </row>
    <row r="446">
      <c r="AU446" s="10"/>
    </row>
    <row r="447">
      <c r="AU447" s="10"/>
    </row>
    <row r="448">
      <c r="AU448" s="10"/>
    </row>
    <row r="449">
      <c r="AU449" s="10"/>
    </row>
    <row r="450">
      <c r="AU450" s="10"/>
    </row>
    <row r="451">
      <c r="AU451" s="10"/>
    </row>
    <row r="452">
      <c r="AU452" s="10"/>
    </row>
    <row r="453">
      <c r="AU453" s="10"/>
    </row>
    <row r="454">
      <c r="AU454" s="10"/>
    </row>
    <row r="455">
      <c r="AU455" s="10"/>
    </row>
    <row r="456">
      <c r="AU456" s="10"/>
    </row>
    <row r="457">
      <c r="AU457" s="10"/>
    </row>
    <row r="458">
      <c r="AU458" s="10"/>
    </row>
    <row r="459">
      <c r="AU459" s="10"/>
    </row>
    <row r="460">
      <c r="AU460" s="10"/>
    </row>
    <row r="461">
      <c r="AU461" s="10"/>
    </row>
    <row r="462">
      <c r="AU462" s="10"/>
    </row>
    <row r="463">
      <c r="AU463" s="10"/>
    </row>
    <row r="464">
      <c r="AU464" s="10"/>
    </row>
    <row r="465">
      <c r="AU465" s="10"/>
    </row>
    <row r="466">
      <c r="AU466" s="10"/>
    </row>
    <row r="467">
      <c r="AU467" s="10"/>
    </row>
    <row r="468">
      <c r="AU468" s="10"/>
    </row>
    <row r="469">
      <c r="AU469" s="10"/>
    </row>
    <row r="470">
      <c r="AU470" s="10"/>
    </row>
    <row r="471">
      <c r="AU471" s="10"/>
    </row>
    <row r="472">
      <c r="AU472" s="10"/>
    </row>
    <row r="473">
      <c r="AU473" s="10"/>
    </row>
    <row r="474">
      <c r="AU474" s="10"/>
    </row>
    <row r="475">
      <c r="AU475" s="10"/>
    </row>
    <row r="476">
      <c r="AU476" s="10"/>
    </row>
    <row r="477">
      <c r="AU477" s="10"/>
    </row>
    <row r="478">
      <c r="AU478" s="10"/>
    </row>
    <row r="479">
      <c r="AU479" s="10"/>
    </row>
    <row r="480">
      <c r="AU480" s="10"/>
    </row>
    <row r="481">
      <c r="AU481" s="10"/>
    </row>
    <row r="482">
      <c r="AU482" s="10"/>
    </row>
    <row r="483">
      <c r="AU483" s="10"/>
    </row>
    <row r="484">
      <c r="AU484" s="10"/>
    </row>
    <row r="485">
      <c r="AU485" s="10"/>
    </row>
    <row r="486">
      <c r="AU486" s="10"/>
    </row>
    <row r="487">
      <c r="AU487" s="10"/>
    </row>
    <row r="488">
      <c r="AU488" s="10"/>
    </row>
    <row r="489">
      <c r="AU489" s="10"/>
    </row>
    <row r="490">
      <c r="AU490" s="10"/>
    </row>
    <row r="491">
      <c r="AU491" s="10"/>
    </row>
    <row r="492">
      <c r="AU492" s="10"/>
    </row>
    <row r="493">
      <c r="AU493" s="10"/>
    </row>
    <row r="494">
      <c r="AU494" s="10"/>
    </row>
    <row r="495">
      <c r="AU495" s="10"/>
    </row>
    <row r="496">
      <c r="AU496" s="10"/>
    </row>
    <row r="497">
      <c r="AU497" s="10"/>
    </row>
    <row r="498">
      <c r="AU498" s="10"/>
    </row>
    <row r="499">
      <c r="AU499" s="10"/>
    </row>
    <row r="500">
      <c r="AU500" s="10"/>
    </row>
    <row r="501">
      <c r="AU501" s="10"/>
    </row>
    <row r="502">
      <c r="AU502" s="10"/>
    </row>
    <row r="503">
      <c r="AU503" s="10"/>
    </row>
    <row r="504">
      <c r="AU504" s="10"/>
    </row>
    <row r="505">
      <c r="AU505" s="10"/>
    </row>
    <row r="506">
      <c r="AU506" s="10"/>
    </row>
    <row r="507">
      <c r="AU507" s="10"/>
    </row>
    <row r="508">
      <c r="AU508" s="10"/>
    </row>
    <row r="509">
      <c r="AU509" s="10"/>
    </row>
    <row r="510">
      <c r="AU510" s="10"/>
    </row>
    <row r="511">
      <c r="AU511" s="10"/>
    </row>
    <row r="512">
      <c r="AU512" s="10"/>
    </row>
    <row r="513">
      <c r="AU513" s="10"/>
    </row>
    <row r="514">
      <c r="AU514" s="10"/>
    </row>
    <row r="515">
      <c r="AU515" s="10"/>
    </row>
    <row r="516">
      <c r="AU516" s="10"/>
    </row>
    <row r="517">
      <c r="AU517" s="10"/>
    </row>
    <row r="518">
      <c r="AU518" s="10"/>
    </row>
    <row r="519">
      <c r="AU519" s="10"/>
    </row>
    <row r="520">
      <c r="AU520" s="10"/>
    </row>
    <row r="521">
      <c r="AU521" s="10"/>
    </row>
    <row r="522">
      <c r="AU522" s="10"/>
    </row>
    <row r="523">
      <c r="AU523" s="10"/>
    </row>
    <row r="524">
      <c r="AU524" s="10"/>
    </row>
    <row r="525">
      <c r="AU525" s="10"/>
    </row>
    <row r="526">
      <c r="AU526" s="10"/>
    </row>
    <row r="527">
      <c r="AU527" s="10"/>
    </row>
    <row r="528">
      <c r="AU528" s="10"/>
    </row>
    <row r="529">
      <c r="AU529" s="10"/>
    </row>
    <row r="530">
      <c r="AU530" s="10"/>
    </row>
    <row r="531">
      <c r="AU531" s="10"/>
    </row>
    <row r="532">
      <c r="AU532" s="10"/>
    </row>
    <row r="533">
      <c r="AU533" s="10"/>
    </row>
    <row r="534">
      <c r="AU534" s="10"/>
    </row>
    <row r="535">
      <c r="AU535" s="10"/>
    </row>
    <row r="536">
      <c r="AU536" s="10"/>
    </row>
    <row r="537">
      <c r="AU537" s="10"/>
    </row>
    <row r="538">
      <c r="AU538" s="10"/>
    </row>
    <row r="539">
      <c r="AU539" s="10"/>
    </row>
    <row r="540">
      <c r="AU540" s="10"/>
    </row>
    <row r="541">
      <c r="AU541" s="10"/>
    </row>
    <row r="542">
      <c r="AU542" s="10"/>
    </row>
    <row r="543">
      <c r="AU543" s="10"/>
    </row>
    <row r="544">
      <c r="AU544" s="10"/>
    </row>
    <row r="545">
      <c r="AU545" s="10"/>
    </row>
    <row r="546">
      <c r="AU546" s="10"/>
    </row>
    <row r="547">
      <c r="AU547" s="10"/>
    </row>
    <row r="548">
      <c r="AU548" s="10"/>
    </row>
    <row r="549">
      <c r="AU549" s="10"/>
    </row>
    <row r="550">
      <c r="AU550" s="10"/>
    </row>
    <row r="551">
      <c r="AU551" s="10"/>
    </row>
    <row r="552">
      <c r="AU552" s="10"/>
    </row>
    <row r="553">
      <c r="AU553" s="10"/>
    </row>
    <row r="554">
      <c r="AU554" s="10"/>
    </row>
    <row r="555">
      <c r="AU555" s="10"/>
    </row>
    <row r="556">
      <c r="AU556" s="10"/>
    </row>
    <row r="557">
      <c r="AU557" s="10"/>
    </row>
    <row r="558">
      <c r="AU558" s="10"/>
    </row>
    <row r="559">
      <c r="AU559" s="10"/>
    </row>
    <row r="560">
      <c r="AU560" s="10"/>
    </row>
    <row r="561">
      <c r="AU561" s="10"/>
    </row>
    <row r="562">
      <c r="AU562" s="10"/>
    </row>
    <row r="563">
      <c r="AU563" s="10"/>
    </row>
    <row r="564">
      <c r="AU564" s="10"/>
    </row>
    <row r="565">
      <c r="AU565" s="10"/>
    </row>
    <row r="566">
      <c r="AU566" s="10"/>
    </row>
    <row r="567">
      <c r="AU567" s="10"/>
    </row>
    <row r="568">
      <c r="AU568" s="10"/>
    </row>
    <row r="569">
      <c r="AU569" s="10"/>
    </row>
    <row r="570">
      <c r="AU570" s="10"/>
    </row>
    <row r="571">
      <c r="AU571" s="10"/>
    </row>
    <row r="572">
      <c r="AU572" s="10"/>
    </row>
    <row r="573">
      <c r="AU573" s="10"/>
    </row>
    <row r="574">
      <c r="AU574" s="10"/>
    </row>
    <row r="575">
      <c r="AU575" s="10"/>
    </row>
    <row r="576">
      <c r="AU576" s="10"/>
    </row>
    <row r="577">
      <c r="AU577" s="10"/>
    </row>
    <row r="578">
      <c r="AU578" s="10"/>
    </row>
    <row r="579">
      <c r="AU579" s="10"/>
    </row>
    <row r="580">
      <c r="AU580" s="10"/>
    </row>
    <row r="581">
      <c r="AU581" s="10"/>
    </row>
    <row r="582">
      <c r="AU582" s="10"/>
    </row>
    <row r="583">
      <c r="AU583" s="10"/>
    </row>
    <row r="584">
      <c r="AU584" s="10"/>
    </row>
    <row r="585">
      <c r="AU585" s="10"/>
    </row>
    <row r="586">
      <c r="AU586" s="10"/>
    </row>
    <row r="587">
      <c r="AU587" s="10"/>
    </row>
    <row r="588">
      <c r="AU588" s="10"/>
    </row>
    <row r="589">
      <c r="AU589" s="10"/>
    </row>
    <row r="590">
      <c r="AU590" s="10"/>
    </row>
    <row r="591">
      <c r="AU591" s="10"/>
    </row>
    <row r="592">
      <c r="AU592" s="10"/>
    </row>
    <row r="593">
      <c r="AU593" s="10"/>
    </row>
    <row r="594">
      <c r="AU594" s="10"/>
    </row>
    <row r="595">
      <c r="AU595" s="10"/>
    </row>
    <row r="596">
      <c r="AU596" s="10"/>
    </row>
    <row r="597">
      <c r="AU597" s="10"/>
    </row>
    <row r="598">
      <c r="AU598" s="10"/>
    </row>
    <row r="599">
      <c r="AU599" s="10"/>
    </row>
    <row r="600">
      <c r="AU600" s="10"/>
    </row>
    <row r="601">
      <c r="AU601" s="10"/>
    </row>
    <row r="602">
      <c r="AU602" s="10"/>
    </row>
    <row r="603">
      <c r="AU603" s="10"/>
    </row>
    <row r="604">
      <c r="AU604" s="10"/>
    </row>
    <row r="605">
      <c r="AU605" s="10"/>
    </row>
    <row r="606">
      <c r="AU606" s="10"/>
    </row>
    <row r="607">
      <c r="AU607" s="10"/>
    </row>
    <row r="608">
      <c r="AU608" s="10"/>
    </row>
    <row r="609">
      <c r="AU609" s="10"/>
    </row>
    <row r="610">
      <c r="AU610" s="10"/>
    </row>
    <row r="611">
      <c r="AU611" s="10"/>
    </row>
    <row r="612">
      <c r="AU612" s="10"/>
    </row>
    <row r="613">
      <c r="AU613" s="10"/>
    </row>
    <row r="614">
      <c r="AU614" s="10"/>
    </row>
    <row r="615">
      <c r="AU615" s="10"/>
    </row>
    <row r="616">
      <c r="AU616" s="10"/>
    </row>
    <row r="617">
      <c r="AU617" s="10"/>
    </row>
    <row r="618">
      <c r="AU618" s="10"/>
    </row>
    <row r="619">
      <c r="AU619" s="10"/>
    </row>
    <row r="620">
      <c r="AU620" s="10"/>
    </row>
    <row r="621">
      <c r="AU621" s="10"/>
    </row>
    <row r="622">
      <c r="AU622" s="10"/>
    </row>
    <row r="623">
      <c r="AU623" s="10"/>
    </row>
    <row r="624">
      <c r="AU624" s="10"/>
    </row>
    <row r="625">
      <c r="AU625" s="10"/>
    </row>
    <row r="626">
      <c r="AU626" s="10"/>
    </row>
    <row r="627">
      <c r="AU627" s="10"/>
    </row>
    <row r="628">
      <c r="AU628" s="10"/>
    </row>
    <row r="629">
      <c r="AU629" s="10"/>
    </row>
    <row r="630">
      <c r="AU630" s="10"/>
    </row>
    <row r="631">
      <c r="AU631" s="10"/>
    </row>
    <row r="632">
      <c r="AU632" s="10"/>
    </row>
    <row r="633">
      <c r="AU633" s="10"/>
    </row>
    <row r="634">
      <c r="AU634" s="10"/>
    </row>
    <row r="635">
      <c r="AU635" s="10"/>
    </row>
    <row r="636">
      <c r="AU636" s="10"/>
    </row>
    <row r="637">
      <c r="AU637" s="10"/>
    </row>
    <row r="638">
      <c r="AU638" s="10"/>
    </row>
    <row r="639">
      <c r="AU639" s="10"/>
    </row>
    <row r="640">
      <c r="AU640" s="10"/>
    </row>
    <row r="641">
      <c r="AU641" s="10"/>
    </row>
    <row r="642">
      <c r="AU642" s="10"/>
    </row>
    <row r="643">
      <c r="AU643" s="10"/>
    </row>
    <row r="644">
      <c r="AU644" s="10"/>
    </row>
    <row r="645">
      <c r="AU645" s="10"/>
    </row>
    <row r="646">
      <c r="AU646" s="10"/>
    </row>
    <row r="647">
      <c r="AU647" s="10"/>
    </row>
    <row r="648">
      <c r="AU648" s="10"/>
    </row>
    <row r="649">
      <c r="AU649" s="10"/>
    </row>
    <row r="650">
      <c r="AU650" s="10"/>
    </row>
    <row r="651">
      <c r="AU651" s="10"/>
    </row>
    <row r="652">
      <c r="AU652" s="10"/>
    </row>
    <row r="653">
      <c r="AU653" s="10"/>
    </row>
    <row r="654">
      <c r="AU654" s="10"/>
    </row>
    <row r="655">
      <c r="AU655" s="10"/>
    </row>
    <row r="656">
      <c r="AU656" s="10"/>
    </row>
    <row r="657">
      <c r="AU657" s="10"/>
    </row>
    <row r="658">
      <c r="AU658" s="10"/>
    </row>
    <row r="659">
      <c r="AU659" s="10"/>
    </row>
    <row r="660">
      <c r="AU660" s="10"/>
    </row>
    <row r="661">
      <c r="AU661" s="10"/>
    </row>
    <row r="662">
      <c r="AU662" s="10"/>
    </row>
    <row r="663">
      <c r="AU663" s="10"/>
    </row>
    <row r="664">
      <c r="AU664" s="10"/>
    </row>
    <row r="665">
      <c r="AU665" s="10"/>
    </row>
    <row r="666">
      <c r="AU666" s="10"/>
    </row>
    <row r="667">
      <c r="AU667" s="10"/>
    </row>
    <row r="668">
      <c r="AU668" s="10"/>
    </row>
    <row r="669">
      <c r="AU669" s="10"/>
    </row>
    <row r="670">
      <c r="AU670" s="10"/>
    </row>
    <row r="671">
      <c r="AU671" s="10"/>
    </row>
    <row r="672">
      <c r="AU672" s="10"/>
    </row>
    <row r="673">
      <c r="AU673" s="10"/>
    </row>
    <row r="674">
      <c r="AU674" s="10"/>
    </row>
    <row r="675">
      <c r="AU675" s="10"/>
    </row>
    <row r="676">
      <c r="AU676" s="10"/>
    </row>
    <row r="677">
      <c r="AU677" s="10"/>
    </row>
    <row r="678">
      <c r="AU678" s="10"/>
    </row>
    <row r="679">
      <c r="AU679" s="10"/>
    </row>
    <row r="680">
      <c r="AU680" s="10"/>
    </row>
    <row r="681">
      <c r="AU681" s="10"/>
    </row>
    <row r="682">
      <c r="AU682" s="10"/>
    </row>
    <row r="683">
      <c r="AU683" s="10"/>
    </row>
    <row r="684">
      <c r="AU684" s="10"/>
    </row>
    <row r="685">
      <c r="AU685" s="10"/>
    </row>
    <row r="686">
      <c r="AU686" s="10"/>
    </row>
    <row r="687">
      <c r="AU687" s="10"/>
    </row>
    <row r="688">
      <c r="AU688" s="10"/>
    </row>
    <row r="689">
      <c r="AU689" s="10"/>
    </row>
    <row r="690">
      <c r="AU690" s="10"/>
    </row>
    <row r="691">
      <c r="AU691" s="10"/>
    </row>
    <row r="692">
      <c r="AU692" s="10"/>
    </row>
    <row r="693">
      <c r="AU693" s="10"/>
    </row>
    <row r="694">
      <c r="AU694" s="10"/>
    </row>
    <row r="695">
      <c r="AU695" s="10"/>
    </row>
    <row r="696">
      <c r="AU696" s="10"/>
    </row>
    <row r="697">
      <c r="AU697" s="10"/>
    </row>
    <row r="698">
      <c r="AU698" s="10"/>
    </row>
    <row r="699">
      <c r="AU699" s="10"/>
    </row>
    <row r="700">
      <c r="AU700" s="10"/>
    </row>
    <row r="701">
      <c r="AU701" s="10"/>
    </row>
    <row r="702">
      <c r="AU702" s="10"/>
    </row>
    <row r="703">
      <c r="AU703" s="10"/>
    </row>
    <row r="704">
      <c r="AU704" s="10"/>
    </row>
    <row r="705">
      <c r="AU705" s="10"/>
    </row>
    <row r="706">
      <c r="AU706" s="10"/>
    </row>
    <row r="707">
      <c r="AU707" s="10"/>
    </row>
    <row r="708">
      <c r="AU708" s="10"/>
    </row>
    <row r="709">
      <c r="AU709" s="10"/>
    </row>
    <row r="710">
      <c r="AU710" s="10"/>
    </row>
    <row r="711">
      <c r="AU711" s="10"/>
    </row>
    <row r="712">
      <c r="AU712" s="10"/>
    </row>
    <row r="713">
      <c r="AU713" s="10"/>
    </row>
    <row r="714">
      <c r="AU714" s="10"/>
    </row>
    <row r="715">
      <c r="AU715" s="10"/>
    </row>
    <row r="716">
      <c r="AU716" s="10"/>
    </row>
    <row r="717">
      <c r="AU717" s="10"/>
    </row>
    <row r="718">
      <c r="AU718" s="10"/>
    </row>
    <row r="719">
      <c r="AU719" s="10"/>
    </row>
    <row r="720">
      <c r="AU720" s="10"/>
    </row>
    <row r="721">
      <c r="AU721" s="10"/>
    </row>
    <row r="722">
      <c r="AU722" s="10"/>
    </row>
    <row r="723">
      <c r="AU723" s="10"/>
    </row>
    <row r="724">
      <c r="AU724" s="10"/>
    </row>
    <row r="725">
      <c r="AU725" s="10"/>
    </row>
    <row r="726">
      <c r="AU726" s="10"/>
    </row>
    <row r="727">
      <c r="AU727" s="10"/>
    </row>
    <row r="728">
      <c r="AU728" s="10"/>
    </row>
    <row r="729">
      <c r="AU729" s="10"/>
    </row>
    <row r="730">
      <c r="AU730" s="10"/>
    </row>
    <row r="731">
      <c r="AU731" s="10"/>
    </row>
    <row r="732">
      <c r="AU732" s="10"/>
    </row>
    <row r="733">
      <c r="AU733" s="10"/>
    </row>
    <row r="734">
      <c r="AU734" s="10"/>
    </row>
    <row r="735">
      <c r="AU735" s="10"/>
    </row>
    <row r="736">
      <c r="AU736" s="10"/>
    </row>
    <row r="737">
      <c r="AU737" s="10"/>
    </row>
    <row r="738">
      <c r="AU738" s="10"/>
    </row>
    <row r="739">
      <c r="AU739" s="10"/>
    </row>
    <row r="740">
      <c r="AU740" s="10"/>
    </row>
    <row r="741">
      <c r="AU741" s="10"/>
    </row>
    <row r="742">
      <c r="AU742" s="10"/>
    </row>
    <row r="743">
      <c r="AU743" s="10"/>
    </row>
    <row r="744">
      <c r="AU744" s="10"/>
    </row>
    <row r="745">
      <c r="AU745" s="10"/>
    </row>
    <row r="746">
      <c r="AU746" s="10"/>
    </row>
    <row r="747">
      <c r="AU747" s="10"/>
    </row>
    <row r="748">
      <c r="AU748" s="10"/>
    </row>
    <row r="749">
      <c r="AU749" s="10"/>
    </row>
    <row r="750">
      <c r="AU750" s="10"/>
    </row>
    <row r="751">
      <c r="AU751" s="10"/>
    </row>
    <row r="752">
      <c r="AU752" s="10"/>
    </row>
    <row r="753">
      <c r="AU753" s="10"/>
    </row>
    <row r="754">
      <c r="AU754" s="10"/>
    </row>
    <row r="755">
      <c r="AU755" s="10"/>
    </row>
    <row r="756">
      <c r="AU756" s="10"/>
    </row>
    <row r="757">
      <c r="AU757" s="10"/>
    </row>
    <row r="758">
      <c r="AU758" s="10"/>
    </row>
    <row r="759">
      <c r="AU759" s="10"/>
    </row>
    <row r="760">
      <c r="AU760" s="10"/>
    </row>
    <row r="761">
      <c r="AU761" s="10"/>
    </row>
    <row r="762">
      <c r="AU762" s="10"/>
    </row>
    <row r="763">
      <c r="AU763" s="10"/>
    </row>
    <row r="764">
      <c r="AU764" s="10"/>
    </row>
    <row r="765">
      <c r="AU765" s="10"/>
    </row>
    <row r="766">
      <c r="AU766" s="10"/>
    </row>
    <row r="767">
      <c r="AU767" s="10"/>
    </row>
    <row r="768">
      <c r="AU768" s="10"/>
    </row>
    <row r="769">
      <c r="AU769" s="10"/>
    </row>
    <row r="770">
      <c r="AU770" s="10"/>
    </row>
    <row r="771">
      <c r="AU771" s="10"/>
    </row>
    <row r="772">
      <c r="AU772" s="10"/>
    </row>
    <row r="773">
      <c r="AU773" s="10"/>
    </row>
    <row r="774">
      <c r="AU774" s="10"/>
    </row>
    <row r="775">
      <c r="AU775" s="10"/>
    </row>
    <row r="776">
      <c r="AU776" s="10"/>
    </row>
    <row r="777">
      <c r="AU777" s="10"/>
    </row>
    <row r="778">
      <c r="AU778" s="10"/>
    </row>
    <row r="779">
      <c r="AU779" s="10"/>
    </row>
    <row r="780">
      <c r="AU780" s="10"/>
    </row>
    <row r="781">
      <c r="AU781" s="10"/>
    </row>
    <row r="782">
      <c r="AU782" s="10"/>
    </row>
    <row r="783">
      <c r="AU783" s="10"/>
    </row>
    <row r="784">
      <c r="AU784" s="10"/>
    </row>
    <row r="785">
      <c r="AU785" s="10"/>
    </row>
    <row r="786">
      <c r="AU786" s="10"/>
    </row>
    <row r="787">
      <c r="AU787" s="10"/>
    </row>
    <row r="788">
      <c r="AU788" s="10"/>
    </row>
    <row r="789">
      <c r="AU789" s="10"/>
    </row>
    <row r="790">
      <c r="AU790" s="10"/>
    </row>
    <row r="791">
      <c r="AU791" s="10"/>
    </row>
    <row r="792">
      <c r="AU792" s="10"/>
    </row>
    <row r="793">
      <c r="AU793" s="10"/>
    </row>
    <row r="794">
      <c r="AU794" s="10"/>
    </row>
    <row r="795">
      <c r="AU795" s="10"/>
    </row>
    <row r="796">
      <c r="AU796" s="10"/>
    </row>
    <row r="797">
      <c r="AU797" s="10"/>
    </row>
    <row r="798">
      <c r="AU798" s="10"/>
    </row>
    <row r="799">
      <c r="AU799" s="10"/>
    </row>
    <row r="800">
      <c r="AU800" s="10"/>
    </row>
    <row r="801">
      <c r="AU801" s="10"/>
    </row>
    <row r="802">
      <c r="AU802" s="10"/>
    </row>
    <row r="803">
      <c r="AU803" s="10"/>
    </row>
    <row r="804">
      <c r="AU804" s="10"/>
    </row>
    <row r="805">
      <c r="AU805" s="10"/>
    </row>
    <row r="806">
      <c r="AU806" s="10"/>
    </row>
    <row r="807">
      <c r="AU807" s="10"/>
    </row>
    <row r="808">
      <c r="AU808" s="10"/>
    </row>
    <row r="809">
      <c r="AU809" s="10"/>
    </row>
    <row r="810">
      <c r="AU810" s="10"/>
    </row>
    <row r="811">
      <c r="AU811" s="10"/>
    </row>
    <row r="812">
      <c r="AU812" s="10"/>
    </row>
    <row r="813">
      <c r="AU813" s="10"/>
    </row>
    <row r="814">
      <c r="AU814" s="10"/>
    </row>
    <row r="815">
      <c r="AU815" s="10"/>
    </row>
    <row r="816">
      <c r="AU816" s="10"/>
    </row>
    <row r="817">
      <c r="AU817" s="10"/>
    </row>
    <row r="818">
      <c r="AU818" s="10"/>
    </row>
    <row r="819">
      <c r="AU819" s="10"/>
    </row>
    <row r="820">
      <c r="AU820" s="10"/>
    </row>
    <row r="821">
      <c r="AU821" s="10"/>
    </row>
    <row r="822">
      <c r="AU822" s="10"/>
    </row>
    <row r="823">
      <c r="AU823" s="10"/>
    </row>
    <row r="824">
      <c r="AU824" s="10"/>
    </row>
    <row r="825">
      <c r="AU825" s="10"/>
    </row>
    <row r="826">
      <c r="AU826" s="10"/>
    </row>
    <row r="827">
      <c r="AU827" s="10"/>
    </row>
    <row r="828">
      <c r="AU828" s="10"/>
    </row>
    <row r="829">
      <c r="AU829" s="10"/>
    </row>
    <row r="830">
      <c r="AU830" s="10"/>
    </row>
    <row r="831">
      <c r="AU831" s="10"/>
    </row>
    <row r="832">
      <c r="AU832" s="10"/>
    </row>
    <row r="833">
      <c r="AU833" s="10"/>
    </row>
    <row r="834">
      <c r="AU834" s="10"/>
    </row>
    <row r="835">
      <c r="AU835" s="10"/>
    </row>
    <row r="836">
      <c r="AU836" s="10"/>
    </row>
    <row r="837">
      <c r="AU837" s="10"/>
    </row>
    <row r="838">
      <c r="AU838" s="10"/>
    </row>
    <row r="839">
      <c r="AU839" s="10"/>
    </row>
    <row r="840">
      <c r="AU840" s="10"/>
    </row>
    <row r="841">
      <c r="AU841" s="10"/>
    </row>
    <row r="842">
      <c r="AU842" s="10"/>
    </row>
    <row r="843">
      <c r="AU843" s="10"/>
    </row>
    <row r="844">
      <c r="AU844" s="10"/>
    </row>
    <row r="845">
      <c r="AU845" s="10"/>
    </row>
    <row r="846">
      <c r="AU846" s="10"/>
    </row>
    <row r="847">
      <c r="AU847" s="10"/>
    </row>
    <row r="848">
      <c r="AU848" s="10"/>
    </row>
    <row r="849">
      <c r="AU849" s="10"/>
    </row>
    <row r="850">
      <c r="AU850" s="10"/>
    </row>
    <row r="851">
      <c r="AU851" s="10"/>
    </row>
    <row r="852">
      <c r="AU852" s="10"/>
    </row>
    <row r="853">
      <c r="AU853" s="10"/>
    </row>
    <row r="854">
      <c r="AU854" s="10"/>
    </row>
    <row r="855">
      <c r="AU855" s="10"/>
    </row>
    <row r="856">
      <c r="AU856" s="10"/>
    </row>
    <row r="857">
      <c r="AU857" s="10"/>
    </row>
    <row r="858">
      <c r="AU858" s="10"/>
    </row>
    <row r="859">
      <c r="AU859" s="10"/>
    </row>
    <row r="860">
      <c r="AU860" s="10"/>
    </row>
    <row r="861">
      <c r="AU861" s="10"/>
    </row>
    <row r="862">
      <c r="AU862" s="10"/>
    </row>
    <row r="863">
      <c r="AU863" s="10"/>
    </row>
    <row r="864">
      <c r="AU864" s="10"/>
    </row>
    <row r="865">
      <c r="AU865" s="10"/>
    </row>
    <row r="866">
      <c r="AU866" s="10"/>
    </row>
    <row r="867">
      <c r="AU867" s="10"/>
    </row>
    <row r="868">
      <c r="AU868" s="10"/>
    </row>
    <row r="869">
      <c r="AU869" s="10"/>
    </row>
    <row r="870">
      <c r="AU870" s="10"/>
    </row>
    <row r="871">
      <c r="AU871" s="10"/>
    </row>
    <row r="872">
      <c r="AU872" s="10"/>
    </row>
    <row r="873">
      <c r="AU873" s="10"/>
    </row>
    <row r="874">
      <c r="AU874" s="10"/>
    </row>
    <row r="875">
      <c r="AU875" s="10"/>
    </row>
    <row r="876">
      <c r="AU876" s="10"/>
    </row>
    <row r="877">
      <c r="AU877" s="10"/>
    </row>
    <row r="878">
      <c r="AU878" s="10"/>
    </row>
    <row r="879">
      <c r="AU879" s="10"/>
    </row>
    <row r="880">
      <c r="AU880" s="10"/>
    </row>
    <row r="881">
      <c r="AU881" s="10"/>
    </row>
    <row r="882">
      <c r="AU882" s="10"/>
    </row>
    <row r="883">
      <c r="AU883" s="10"/>
    </row>
    <row r="884">
      <c r="AU884" s="10"/>
    </row>
    <row r="885">
      <c r="AU885" s="10"/>
    </row>
    <row r="886">
      <c r="AU886" s="10"/>
    </row>
    <row r="887">
      <c r="AU887" s="10"/>
    </row>
    <row r="888">
      <c r="AU888" s="10"/>
    </row>
    <row r="889">
      <c r="AU889" s="10"/>
    </row>
    <row r="890">
      <c r="AU890" s="10"/>
    </row>
    <row r="891">
      <c r="AU891" s="10"/>
    </row>
    <row r="892">
      <c r="AU892" s="10"/>
    </row>
    <row r="893">
      <c r="AU893" s="10"/>
    </row>
    <row r="894">
      <c r="AU894" s="10"/>
    </row>
    <row r="895">
      <c r="AU895" s="10"/>
    </row>
    <row r="896">
      <c r="AU896" s="10"/>
    </row>
    <row r="897">
      <c r="AU897" s="10"/>
    </row>
    <row r="898">
      <c r="AU898" s="10"/>
    </row>
    <row r="899">
      <c r="AU899" s="10"/>
    </row>
    <row r="900">
      <c r="AU900" s="10"/>
    </row>
    <row r="901">
      <c r="AU901" s="10"/>
    </row>
    <row r="902">
      <c r="AU902" s="10"/>
    </row>
    <row r="903">
      <c r="AU903" s="10"/>
    </row>
    <row r="904">
      <c r="AU904" s="10"/>
    </row>
    <row r="905">
      <c r="AU905" s="10"/>
    </row>
    <row r="906">
      <c r="AU906" s="10"/>
    </row>
    <row r="907">
      <c r="AU907" s="10"/>
    </row>
    <row r="908">
      <c r="AU908" s="10"/>
    </row>
    <row r="909">
      <c r="AU909" s="10"/>
    </row>
    <row r="910">
      <c r="AU910" s="10"/>
    </row>
    <row r="911">
      <c r="AU911" s="10"/>
    </row>
    <row r="912">
      <c r="AU912" s="10"/>
    </row>
    <row r="913">
      <c r="AU913" s="10"/>
    </row>
    <row r="914">
      <c r="AU914" s="10"/>
    </row>
    <row r="915">
      <c r="AU915" s="10"/>
    </row>
    <row r="916">
      <c r="AU916" s="10"/>
    </row>
    <row r="917">
      <c r="AU917" s="10"/>
    </row>
    <row r="918">
      <c r="AU918" s="10"/>
    </row>
    <row r="919">
      <c r="AU919" s="10"/>
    </row>
    <row r="920">
      <c r="AU920" s="10"/>
    </row>
    <row r="921">
      <c r="AU921" s="10"/>
    </row>
    <row r="922">
      <c r="AU922" s="10"/>
    </row>
    <row r="923">
      <c r="AU923" s="10"/>
    </row>
    <row r="924">
      <c r="AU924" s="10"/>
    </row>
    <row r="925">
      <c r="AU925" s="10"/>
    </row>
    <row r="926">
      <c r="AU926" s="10"/>
    </row>
    <row r="927">
      <c r="AU927" s="10"/>
    </row>
    <row r="928">
      <c r="AU928" s="10"/>
    </row>
    <row r="929">
      <c r="AU929" s="10"/>
    </row>
    <row r="930">
      <c r="AU930" s="10"/>
    </row>
    <row r="931">
      <c r="AU931" s="10"/>
    </row>
    <row r="932">
      <c r="AU932" s="10"/>
    </row>
    <row r="933">
      <c r="AU933" s="10"/>
    </row>
    <row r="934">
      <c r="AU934" s="10"/>
    </row>
    <row r="935">
      <c r="AU935" s="10"/>
    </row>
    <row r="936">
      <c r="AU936" s="10"/>
    </row>
    <row r="937">
      <c r="AU937" s="10"/>
    </row>
    <row r="938">
      <c r="AU938" s="10"/>
    </row>
    <row r="939">
      <c r="AU939" s="10"/>
    </row>
    <row r="940">
      <c r="AU940" s="10"/>
    </row>
    <row r="941">
      <c r="AU941" s="10"/>
    </row>
    <row r="942">
      <c r="AU942" s="10"/>
    </row>
    <row r="943">
      <c r="AU943" s="10"/>
    </row>
    <row r="944">
      <c r="AU944" s="10"/>
    </row>
    <row r="945">
      <c r="AU945" s="10"/>
    </row>
    <row r="946">
      <c r="AU946" s="10"/>
    </row>
    <row r="947">
      <c r="AU947" s="10"/>
    </row>
    <row r="948">
      <c r="AU948" s="10"/>
    </row>
    <row r="949">
      <c r="AU949" s="10"/>
    </row>
    <row r="950">
      <c r="AU950" s="10"/>
    </row>
    <row r="951">
      <c r="AU951" s="10"/>
    </row>
    <row r="952">
      <c r="AU952" s="10"/>
    </row>
    <row r="953">
      <c r="AU953" s="10"/>
    </row>
    <row r="954">
      <c r="AU954" s="10"/>
    </row>
    <row r="955">
      <c r="AU955" s="10"/>
    </row>
    <row r="956">
      <c r="AU956" s="10"/>
    </row>
    <row r="957">
      <c r="AU957" s="10"/>
    </row>
    <row r="958">
      <c r="AU958" s="10"/>
    </row>
    <row r="959">
      <c r="AU959" s="10"/>
    </row>
    <row r="960">
      <c r="AU960" s="10"/>
    </row>
    <row r="961">
      <c r="AU961" s="10"/>
    </row>
    <row r="962">
      <c r="AU962" s="10"/>
    </row>
    <row r="963">
      <c r="AU963" s="10"/>
    </row>
    <row r="964">
      <c r="AU964" s="10"/>
    </row>
    <row r="965">
      <c r="AU965" s="10"/>
    </row>
    <row r="966">
      <c r="AU966" s="10"/>
    </row>
    <row r="967">
      <c r="AU967" s="10"/>
    </row>
    <row r="968">
      <c r="AU968" s="10"/>
    </row>
    <row r="969">
      <c r="AU969" s="10"/>
    </row>
    <row r="970">
      <c r="AU970" s="10"/>
    </row>
    <row r="971">
      <c r="AU971" s="10"/>
    </row>
    <row r="972">
      <c r="AU972" s="10"/>
    </row>
    <row r="973">
      <c r="AU973" s="10"/>
    </row>
    <row r="974">
      <c r="AU974" s="10"/>
    </row>
    <row r="975">
      <c r="AU975" s="10"/>
    </row>
    <row r="976">
      <c r="AU976" s="10"/>
    </row>
    <row r="977">
      <c r="AU977" s="10"/>
    </row>
    <row r="978">
      <c r="AU978" s="10"/>
    </row>
    <row r="979">
      <c r="AU979" s="10"/>
    </row>
    <row r="980">
      <c r="AU980" s="10"/>
    </row>
    <row r="981">
      <c r="AU981" s="10"/>
    </row>
    <row r="982">
      <c r="AU982" s="10"/>
    </row>
    <row r="983">
      <c r="AU983" s="10"/>
    </row>
    <row r="984">
      <c r="AU984" s="10"/>
    </row>
    <row r="985">
      <c r="AU985" s="10"/>
    </row>
    <row r="986">
      <c r="AU986" s="10"/>
    </row>
    <row r="987">
      <c r="AU987" s="10"/>
    </row>
    <row r="988">
      <c r="AU988" s="10"/>
    </row>
    <row r="989">
      <c r="AU989" s="10"/>
    </row>
    <row r="990">
      <c r="AU990" s="10"/>
    </row>
    <row r="991">
      <c r="AU991" s="10"/>
    </row>
    <row r="992">
      <c r="AU992" s="10"/>
    </row>
    <row r="993">
      <c r="AU993" s="10"/>
    </row>
    <row r="994">
      <c r="AU994" s="10"/>
    </row>
    <row r="995">
      <c r="AU995" s="10"/>
    </row>
    <row r="996">
      <c r="AU996" s="10"/>
    </row>
    <row r="997">
      <c r="AU997" s="10"/>
    </row>
    <row r="998">
      <c r="AU998" s="10"/>
    </row>
    <row r="999">
      <c r="AU999" s="10"/>
    </row>
    <row r="1000">
      <c r="AU1000" s="10"/>
    </row>
  </sheetData>
  <dataValidations>
    <dataValidation type="list" allowBlank="1" sqref="AL3:AL100">
      <formula1>"Muy bueno ¡Felicidades!,Lee bien, puede mejorar,Necesario practicar en casa"</formula1>
    </dataValidation>
    <dataValidation type="list" allowBlank="1" showErrorMessage="1" sqref="AU3:AU1000">
      <formula1>"Entrega trabajos en tiempo y orden. ¡Felicidades!,Cumple con tareas y pone empeño,Es responsable, pero debe mejorar calidad,En ocasiones no cumple con tareas,Trabaja en salón pero falla con tareas,No trae tareas y no termina trabajos en clase"</formula1>
    </dataValidation>
    <dataValidation type="list" allowBlank="1" sqref="AA3:AJ100 AM3:AT100">
      <formula1>"Logrado,En proceso,Requiere apoyo"</formula1>
    </dataValidation>
    <dataValidation type="list" allowBlank="1" sqref="F3:G100 L3:M100 R3:S100 X3:Y100">
      <formula1>"5,6,7,8,9,10"</formula1>
    </dataValidation>
    <dataValidation type="list" allowBlank="1" sqref="B3:B100">
      <formula1>"4°,5°,6°"</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63"/>
    <col customWidth="1" min="2" max="5" width="14.5"/>
  </cols>
  <sheetData>
    <row r="1">
      <c r="A1" s="11" t="s">
        <v>105</v>
      </c>
      <c r="F1" s="12"/>
      <c r="G1" s="12"/>
      <c r="H1" s="12"/>
      <c r="I1" s="12"/>
      <c r="J1" s="12"/>
      <c r="K1" s="12"/>
      <c r="L1" s="12"/>
      <c r="M1" s="12"/>
      <c r="N1" s="12"/>
      <c r="O1" s="12"/>
      <c r="P1" s="12"/>
      <c r="Q1" s="12"/>
      <c r="R1" s="12"/>
      <c r="S1" s="12"/>
      <c r="T1" s="12"/>
      <c r="U1" s="12"/>
      <c r="V1" s="12"/>
      <c r="W1" s="12"/>
      <c r="X1" s="12"/>
      <c r="Y1" s="12"/>
      <c r="Z1" s="12"/>
    </row>
    <row r="2">
      <c r="F2" s="12"/>
      <c r="G2" s="12"/>
      <c r="H2" s="12"/>
      <c r="I2" s="12"/>
      <c r="J2" s="12"/>
      <c r="K2" s="12"/>
      <c r="L2" s="12"/>
      <c r="M2" s="12"/>
      <c r="N2" s="12"/>
      <c r="O2" s="12"/>
      <c r="P2" s="12"/>
      <c r="Q2" s="12"/>
      <c r="R2" s="12"/>
      <c r="S2" s="12"/>
      <c r="T2" s="12"/>
      <c r="U2" s="12"/>
      <c r="V2" s="12"/>
      <c r="W2" s="12"/>
      <c r="X2" s="12"/>
      <c r="Y2" s="12"/>
      <c r="Z2" s="12"/>
    </row>
    <row r="3">
      <c r="A3" s="12"/>
      <c r="B3" s="12"/>
      <c r="C3" s="12"/>
      <c r="D3" s="12"/>
      <c r="E3" s="12"/>
      <c r="F3" s="12"/>
      <c r="G3" s="12"/>
      <c r="H3" s="12"/>
      <c r="I3" s="12"/>
      <c r="J3" s="12"/>
      <c r="K3" s="12"/>
      <c r="L3" s="12"/>
      <c r="M3" s="12"/>
      <c r="N3" s="12"/>
      <c r="O3" s="12"/>
      <c r="P3" s="12"/>
      <c r="Q3" s="12"/>
      <c r="R3" s="12"/>
      <c r="S3" s="12"/>
      <c r="T3" s="12"/>
      <c r="U3" s="12"/>
      <c r="V3" s="12"/>
      <c r="W3" s="12"/>
      <c r="X3" s="12"/>
      <c r="Y3" s="12"/>
      <c r="Z3" s="12"/>
    </row>
    <row r="4">
      <c r="A4" s="13" t="s">
        <v>106</v>
      </c>
      <c r="C4" s="14" t="s">
        <v>104</v>
      </c>
      <c r="D4" s="15"/>
      <c r="E4" s="16"/>
      <c r="F4" s="12"/>
      <c r="G4" s="12"/>
      <c r="H4" s="12"/>
      <c r="I4" s="12"/>
      <c r="J4" s="12"/>
      <c r="K4" s="12"/>
      <c r="L4" s="12"/>
      <c r="M4" s="12"/>
      <c r="N4" s="12"/>
      <c r="O4" s="12"/>
      <c r="P4" s="12"/>
      <c r="Q4" s="12"/>
      <c r="R4" s="12"/>
      <c r="S4" s="12"/>
      <c r="T4" s="12"/>
      <c r="U4" s="12"/>
      <c r="V4" s="12"/>
      <c r="W4" s="12"/>
      <c r="X4" s="12"/>
      <c r="Y4" s="12"/>
      <c r="Z4" s="12"/>
    </row>
    <row r="5">
      <c r="A5" s="12"/>
      <c r="B5" s="12"/>
      <c r="C5" s="12"/>
      <c r="D5" s="12"/>
      <c r="E5" s="12"/>
      <c r="F5" s="12"/>
      <c r="G5" s="12"/>
      <c r="H5" s="12"/>
      <c r="I5" s="12"/>
      <c r="J5" s="12"/>
      <c r="K5" s="12"/>
      <c r="L5" s="12"/>
      <c r="M5" s="12"/>
      <c r="N5" s="12"/>
      <c r="O5" s="12"/>
      <c r="P5" s="12"/>
      <c r="Q5" s="12"/>
      <c r="R5" s="12"/>
      <c r="S5" s="12"/>
      <c r="T5" s="12"/>
      <c r="U5" s="12"/>
      <c r="V5" s="12"/>
      <c r="W5" s="12"/>
      <c r="X5" s="12"/>
      <c r="Y5" s="12"/>
      <c r="Z5" s="12"/>
    </row>
    <row r="6">
      <c r="A6" s="17" t="s">
        <v>107</v>
      </c>
      <c r="B6" s="18"/>
      <c r="C6" s="18"/>
      <c r="D6" s="18"/>
      <c r="E6" s="19"/>
      <c r="F6" s="12"/>
      <c r="G6" s="12"/>
      <c r="H6" s="12"/>
      <c r="I6" s="12"/>
      <c r="J6" s="12"/>
      <c r="K6" s="12"/>
      <c r="L6" s="12"/>
      <c r="M6" s="12"/>
      <c r="N6" s="12"/>
      <c r="O6" s="12"/>
      <c r="P6" s="12"/>
      <c r="Q6" s="12"/>
      <c r="R6" s="12"/>
      <c r="S6" s="12"/>
      <c r="T6" s="12"/>
      <c r="U6" s="12"/>
      <c r="V6" s="12"/>
      <c r="W6" s="12"/>
      <c r="X6" s="12"/>
      <c r="Y6" s="12"/>
      <c r="Z6" s="12"/>
    </row>
    <row r="7">
      <c r="A7" s="20" t="s">
        <v>108</v>
      </c>
      <c r="B7" s="20" t="s">
        <v>109</v>
      </c>
      <c r="C7" s="20" t="s">
        <v>110</v>
      </c>
      <c r="D7" s="20" t="s">
        <v>111</v>
      </c>
      <c r="E7" s="20" t="s">
        <v>112</v>
      </c>
      <c r="F7" s="12"/>
      <c r="G7" s="12"/>
      <c r="H7" s="12"/>
      <c r="I7" s="12"/>
      <c r="J7" s="12"/>
      <c r="K7" s="12"/>
      <c r="L7" s="12"/>
      <c r="M7" s="12"/>
      <c r="N7" s="12"/>
      <c r="O7" s="12"/>
      <c r="P7" s="12"/>
      <c r="Q7" s="12"/>
      <c r="R7" s="12"/>
      <c r="S7" s="12"/>
      <c r="T7" s="12"/>
      <c r="U7" s="12"/>
      <c r="V7" s="12"/>
      <c r="W7" s="12"/>
      <c r="X7" s="12"/>
      <c r="Y7" s="12"/>
      <c r="Z7" s="12"/>
    </row>
    <row r="8">
      <c r="A8" s="21" t="s">
        <v>113</v>
      </c>
      <c r="B8" s="22" t="str">
        <f t="array" ref="B8">IF(ISBLANK($C$4), "", IF(VLOOKUP($C$4, BD_Alumnos!$A:$BA, 3, FALSE)="", "-", IFERROR(ROUND(IFERROR((VLOOKUP($C$4, BD_Alumnos!$A:$BA, 3, FALSE)/INDEX(BD_Alumnos!$2:$2, 1, 3))*25, 0), 1) &amp; "%", "-")))</f>
        <v>5%</v>
      </c>
      <c r="C8" s="22" t="str">
        <f t="array" ref="C8">IF(ISBLANK($C$4), "", IF(VLOOKUP($C$4, BD_Alumnos!$A:$BA, 9, FALSE)="", "-", IFERROR(ROUND(IFERROR((VLOOKUP($C$4, BD_Alumnos!$A:$BA, 9, FALSE)/INDEX(BD_Alumnos!$2:$2, 1, 9))*25, 0), 1) &amp; "%", "-")))</f>
        <v>-</v>
      </c>
      <c r="D8" s="22" t="str">
        <f t="array" ref="D8">IF(ISBLANK($C$4), "", IF(VLOOKUP($C$4, BD_Alumnos!$A:$BA, 15, FALSE)="", "-", IFERROR(ROUND(IFERROR((VLOOKUP($C$4, BD_Alumnos!$A:$BA, 15, FALSE)/INDEX(BD_Alumnos!$2:$2, 1, 15))*25, 0), 1) &amp; "%", "-")))</f>
        <v>-</v>
      </c>
      <c r="E8" s="22" t="str">
        <f t="array" ref="E8">IF(ISBLANK($C$4), "", IF(VLOOKUP($C$4, BD_Alumnos!$A:$BA, 21, FALSE)="", "-", IFERROR(ROUND(IFERROR((VLOOKUP($C$4, BD_Alumnos!$A:$BA, 21, FALSE)/INDEX(BD_Alumnos!$2:$2, 1, 21))*25, 0), 1) &amp; "%", "-")))</f>
        <v>-</v>
      </c>
      <c r="F8" s="12"/>
      <c r="G8" s="12"/>
      <c r="H8" s="12"/>
      <c r="I8" s="12"/>
      <c r="J8" s="12"/>
      <c r="K8" s="12"/>
      <c r="L8" s="12"/>
      <c r="M8" s="12"/>
      <c r="N8" s="12"/>
      <c r="O8" s="12"/>
      <c r="P8" s="12"/>
      <c r="Q8" s="12"/>
      <c r="R8" s="12"/>
      <c r="S8" s="12"/>
      <c r="T8" s="12"/>
      <c r="U8" s="12"/>
      <c r="V8" s="12"/>
      <c r="W8" s="12"/>
      <c r="X8" s="12"/>
      <c r="Y8" s="12"/>
      <c r="Z8" s="12"/>
    </row>
    <row r="9">
      <c r="A9" s="21" t="s">
        <v>114</v>
      </c>
      <c r="B9" s="22" t="str">
        <f t="array" ref="B9">IF(ISBLANK($C$4), "", IF(VLOOKUP($C$4, BD_Alumnos!$A:$BA, 4, FALSE)="", "-", IFERROR(ROUND(IFERROR((VLOOKUP($C$4, BD_Alumnos!$A:$BA, 4, FALSE)/INDEX(BD_Alumnos!$2:$2, 1, 4))*25, 0), 1) &amp; "%", "-")))</f>
        <v>18.8%</v>
      </c>
      <c r="C9" s="22" t="str">
        <f t="array" ref="C9">IF(ISBLANK($C$4), "", IF(VLOOKUP($C$4, BD_Alumnos!$A:$BA, 10, FALSE)="", "-", IFERROR(ROUND(IFERROR((VLOOKUP($C$4, BD_Alumnos!$A:$BA, 10, FALSE)/INDEX(BD_Alumnos!$2:$2, 1, 10))*25, 0), 1) &amp; "%", "-")))</f>
        <v>-</v>
      </c>
      <c r="D9" s="22" t="str">
        <f t="array" ref="D9">IF(ISBLANK($C$4), "", IF(VLOOKUP($C$4, BD_Alumnos!$A:$BA, 16, FALSE)="", "-", IFERROR(ROUND(IFERROR((VLOOKUP($C$4, BD_Alumnos!$A:$BA, 16, FALSE)/INDEX(BD_Alumnos!$2:$2, 1, 16))*25, 0), 1) &amp; "%", "-")))</f>
        <v>-</v>
      </c>
      <c r="E9" s="22" t="str">
        <f t="array" ref="E9">IF(ISBLANK($C$4), "", IF(VLOOKUP($C$4, BD_Alumnos!$A:$BA, 22, FALSE)="", "-", IFERROR(ROUND(IFERROR((VLOOKUP($C$4, BD_Alumnos!$A:$BA, 22, FALSE)/INDEX(BD_Alumnos!$2:$2, 1, 22))*25, 0), 1) &amp; "%", "-")))</f>
        <v>-</v>
      </c>
      <c r="F9" s="12"/>
      <c r="G9" s="12"/>
      <c r="H9" s="12"/>
      <c r="I9" s="12"/>
      <c r="J9" s="12"/>
      <c r="K9" s="12"/>
      <c r="L9" s="12"/>
      <c r="M9" s="12"/>
      <c r="N9" s="12"/>
      <c r="O9" s="12"/>
      <c r="P9" s="12"/>
      <c r="Q9" s="12"/>
      <c r="R9" s="12"/>
      <c r="S9" s="12"/>
      <c r="T9" s="12"/>
      <c r="U9" s="12"/>
      <c r="V9" s="12"/>
      <c r="W9" s="12"/>
      <c r="X9" s="12"/>
      <c r="Y9" s="12"/>
      <c r="Z9" s="12"/>
    </row>
    <row r="10">
      <c r="A10" s="21" t="s">
        <v>115</v>
      </c>
      <c r="B10" s="22" t="str">
        <f t="array" ref="B10">IF(ISBLANK($C$4), "", IF(VLOOKUP($C$4, BD_Alumnos!$A:$BA, 5, FALSE)="", "-", IFERROR(ROUND(IFERROR((VLOOKUP($C$4, BD_Alumnos!$A:$BA, 5, FALSE)/INDEX(BD_Alumnos!$2:$2, 1, 5))*10, 0), 1) &amp; "%", "-")))</f>
        <v>7.1%</v>
      </c>
      <c r="C10" s="22" t="str">
        <f t="array" ref="C10">IF(ISBLANK($C$4), "", IF(VLOOKUP($C$4, BD_Alumnos!$A:$BA, 11, FALSE)="", "-", IFERROR(ROUND(IFERROR((VLOOKUP($C$4, BD_Alumnos!$A:$BA, 11, FALSE)/INDEX(BD_Alumnos!$2:$2, 1, 11))*10, 0), 1) &amp; "%", "-")))</f>
        <v>-</v>
      </c>
      <c r="D10" s="22" t="str">
        <f t="array" ref="D10">IF(ISBLANK($C$4), "", IF(VLOOKUP($C$4, BD_Alumnos!$A:$BA, 17, FALSE)="", "-", IFERROR(ROUND(IFERROR((VLOOKUP($C$4, BD_Alumnos!$A:$BA, 17, FALSE)/INDEX(BD_Alumnos!$2:$2, 1, 17))*10, 0), 1) &amp; "%", "-")))</f>
        <v>-</v>
      </c>
      <c r="E10" s="22" t="str">
        <f t="array" ref="E10">IF(ISBLANK($C$4), "", IF(VLOOKUP($C$4, BD_Alumnos!$A:$BA, 23, FALSE)="", "-", IFERROR(ROUND(IFERROR((VLOOKUP($C$4, BD_Alumnos!$A:$BA, 23, FALSE)/INDEX(BD_Alumnos!$2:$2, 1, 23))*10, 0), 1) &amp; "%", "-")))</f>
        <v>-</v>
      </c>
      <c r="F10" s="12"/>
      <c r="G10" s="12"/>
      <c r="H10" s="12"/>
      <c r="I10" s="12"/>
      <c r="J10" s="12"/>
      <c r="K10" s="12"/>
      <c r="L10" s="12"/>
      <c r="M10" s="12"/>
      <c r="N10" s="12"/>
      <c r="O10" s="12"/>
      <c r="P10" s="12"/>
      <c r="Q10" s="12"/>
      <c r="R10" s="12"/>
      <c r="S10" s="12"/>
      <c r="T10" s="12"/>
      <c r="U10" s="12"/>
      <c r="V10" s="12"/>
      <c r="W10" s="12"/>
      <c r="X10" s="12"/>
      <c r="Y10" s="12"/>
      <c r="Z10" s="12"/>
    </row>
    <row r="11">
      <c r="A11" s="21" t="s">
        <v>116</v>
      </c>
      <c r="B11" s="22" t="str">
        <f t="array" ref="B11">IF(ISBLANK($C$4), "", IF(VLOOKUP($C$4, BD_Alumnos!$A:$BA, 6, FALSE)="", "-", IFERROR(ROUND(IFERROR((VLOOKUP($C$4, BD_Alumnos!$A:$BA, 6, FALSE)/INDEX(BD_Alumnos!$2:$2, 1, 6))*5, 0), 1) &amp; "%", "-")))</f>
        <v>5%</v>
      </c>
      <c r="C11" s="22" t="str">
        <f t="array" ref="C11">IF(ISBLANK($C$4), "", IF(VLOOKUP($C$4, BD_Alumnos!$A:$BA, 12, FALSE)="", "-", IFERROR(ROUND(IFERROR((VLOOKUP($C$4, BD_Alumnos!$A:$BA, 12, FALSE)/INDEX(BD_Alumnos!$2:$2, 1, 12))*5, 0), 1) &amp; "%", "-")))</f>
        <v>-</v>
      </c>
      <c r="D11" s="22" t="str">
        <f t="array" ref="D11">IF(ISBLANK($C$4), "", IF(VLOOKUP($C$4, BD_Alumnos!$A:$BA, 18, FALSE)="", "-", IFERROR(ROUND(IFERROR((VLOOKUP($C$4, BD_Alumnos!$A:$BA, 18, FALSE)/INDEX(BD_Alumnos!$2:$2, 1, 18))*5, 0), 1) &amp; "%", "-")))</f>
        <v>-</v>
      </c>
      <c r="E11" s="22" t="str">
        <f t="array" ref="E11">IF(ISBLANK($C$4), "", IF(VLOOKUP($C$4, BD_Alumnos!$A:$BA, 24, FALSE)="", "-", IFERROR(ROUND(IFERROR((VLOOKUP($C$4, BD_Alumnos!$A:$BA, 24, FALSE)/INDEX(BD_Alumnos!$2:$2, 1, 24))*5, 0), 1) &amp; "%", "-")))</f>
        <v>-</v>
      </c>
      <c r="F11" s="12"/>
      <c r="G11" s="12"/>
      <c r="H11" s="12"/>
      <c r="I11" s="12"/>
      <c r="J11" s="12"/>
      <c r="K11" s="12"/>
      <c r="L11" s="12"/>
      <c r="M11" s="12"/>
      <c r="N11" s="12"/>
      <c r="O11" s="12"/>
      <c r="P11" s="12"/>
      <c r="Q11" s="12"/>
      <c r="R11" s="12"/>
      <c r="S11" s="12"/>
      <c r="T11" s="12"/>
      <c r="U11" s="12"/>
      <c r="V11" s="12"/>
      <c r="W11" s="12"/>
      <c r="X11" s="12"/>
      <c r="Y11" s="12"/>
      <c r="Z11" s="12"/>
    </row>
    <row r="12">
      <c r="A12" s="21" t="s">
        <v>117</v>
      </c>
      <c r="B12" s="22" t="str">
        <f t="array" ref="B12">IF(ISBLANK($C$4), "", IF(VLOOKUP($C$4, BD_Alumnos!$A:$BA, 7, FALSE)="", "-", IFERROR(ROUND(IFERROR((VLOOKUP($C$4, BD_Alumnos!$A:$BA, 7, FALSE)/INDEX(BD_Alumnos!$2:$2, 1, 7))*5, 0), 1) &amp; "%", "-")))</f>
        <v>3%</v>
      </c>
      <c r="C12" s="22" t="str">
        <f t="array" ref="C12">IF(ISBLANK($C$4), "", IF(VLOOKUP($C$4, BD_Alumnos!$A:$BA, 13, FALSE)="", "-", IFERROR(ROUND(IFERROR((VLOOKUP($C$4, BD_Alumnos!$A:$BA, 13, FALSE)/INDEX(BD_Alumnos!$2:$2, 1, 13))*5, 0), 1) &amp; "%", "-")))</f>
        <v>-</v>
      </c>
      <c r="D12" s="22" t="str">
        <f t="array" ref="D12">IF(ISBLANK($C$4), "", IF(VLOOKUP($C$4, BD_Alumnos!$A:$BA, 19, FALSE)="", "-", IFERROR(ROUND(IFERROR((VLOOKUP($C$4, BD_Alumnos!$A:$BA, 19, FALSE)/INDEX(BD_Alumnos!$2:$2, 1, 19))*5, 0), 1) &amp; "%", "-")))</f>
        <v>-</v>
      </c>
      <c r="E12" s="22" t="str">
        <f t="array" ref="E12">IF(ISBLANK($C$4), "", IF(VLOOKUP($C$4, BD_Alumnos!$A:$BA, 25, FALSE)="", "-", IFERROR(ROUND(IFERROR((VLOOKUP($C$4, BD_Alumnos!$A:$BA, 25, FALSE)/INDEX(BD_Alumnos!$2:$2, 1, 25))*5, 0), 1) &amp; "%", "-")))</f>
        <v>-</v>
      </c>
      <c r="F12" s="12"/>
      <c r="G12" s="12"/>
      <c r="H12" s="12"/>
      <c r="I12" s="12"/>
      <c r="J12" s="12"/>
      <c r="K12" s="12"/>
      <c r="L12" s="12"/>
      <c r="M12" s="12"/>
      <c r="N12" s="12"/>
      <c r="O12" s="12"/>
      <c r="P12" s="12"/>
      <c r="Q12" s="12"/>
      <c r="R12" s="12"/>
      <c r="S12" s="12"/>
      <c r="T12" s="12"/>
      <c r="U12" s="12"/>
      <c r="V12" s="12"/>
      <c r="W12" s="12"/>
      <c r="X12" s="12"/>
      <c r="Y12" s="12"/>
      <c r="Z12" s="12"/>
    </row>
    <row r="13">
      <c r="A13" s="23" t="s">
        <v>118</v>
      </c>
      <c r="B13" s="24" t="str">
        <f t="array" ref="B13">IF(ISBLANK($C$4), "", IF(VLOOKUP($C$4, BD_Alumnos!$A:$BA, 8, FALSE)="", "-", IFERROR(ROUND(IFERROR((VLOOKUP($C$4, BD_Alumnos!$A:$BA, 8, FALSE)/INDEX(BD_Alumnos!$2:$2, 1, 8))*30, 0), 1) &amp; "%", "-")))</f>
        <v>16.5%</v>
      </c>
      <c r="C13" s="24" t="str">
        <f t="array" ref="C13">IF(ISBLANK($C$4), "", IF(VLOOKUP($C$4, BD_Alumnos!$A:$BA, 14, FALSE)="", "-", IFERROR(ROUND(IFERROR((VLOOKUP($C$4, BD_Alumnos!$A:$BA, 14, FALSE)/INDEX(BD_Alumnos!$2:$2, 1, 14))*30, 0), 1) &amp; "%", "-")))</f>
        <v>-</v>
      </c>
      <c r="D13" s="24" t="str">
        <f t="array" ref="D13">IF(ISBLANK($C$4), "", IF(VLOOKUP($C$4, BD_Alumnos!$A:$BA, 20, FALSE)="", "-", IFERROR(ROUND(IFERROR((VLOOKUP($C$4, BD_Alumnos!$A:$BA, 20, FALSE)/INDEX(BD_Alumnos!$2:$2, 1, 20))*30, 0), 1) &amp; "%", "-")))</f>
        <v>-</v>
      </c>
      <c r="E13" s="24" t="str">
        <f t="array" ref="E13">IF(ISBLANK($C$4), "", IF(VLOOKUP($C$4, BD_Alumnos!$A:$BA, 26, FALSE)="", "-", IFERROR(ROUND(IFERROR((VLOOKUP($C$4, BD_Alumnos!$A:$BA, 26, FALSE)/INDEX(BD_Alumnos!$2:$2, 1, 26))*30, 0), 1) &amp; "%", "-")))</f>
        <v>-</v>
      </c>
      <c r="F13" s="12"/>
      <c r="G13" s="12"/>
      <c r="H13" s="12"/>
      <c r="I13" s="12"/>
      <c r="J13" s="12"/>
      <c r="K13" s="12"/>
      <c r="L13" s="12"/>
      <c r="M13" s="12"/>
      <c r="N13" s="12"/>
      <c r="O13" s="12"/>
      <c r="P13" s="12"/>
      <c r="Q13" s="12"/>
      <c r="R13" s="12"/>
      <c r="S13" s="12"/>
      <c r="T13" s="12"/>
      <c r="U13" s="12"/>
      <c r="V13" s="12"/>
      <c r="W13" s="12"/>
      <c r="X13" s="12"/>
      <c r="Y13" s="12"/>
      <c r="Z13" s="12"/>
    </row>
    <row r="14">
      <c r="A14" s="25" t="s">
        <v>119</v>
      </c>
      <c r="B14" s="26" t="str">
        <f t="array" ref="B14">IF(ISBLANK($C$4), "", ROUND(IFERROR(IF(VLOOKUP($C$4, BD_Alumnos!$A:$BA, 3, FALSE)="", 0, (VLOOKUP($C$4, BD_Alumnos!$A:$BA, 3, FALSE)/INDEX(BD_Alumnos!$2:$2, 1, 3))*25), 0)+IFERROR(IF(VLOOKUP($C$4, BD_Alumnos!$A:$BA, 4, FALSE)="", 0, (VLOOKUP($C$4, BD_Alumnos!$A:$BA, 4, FALSE)/INDEX(BD_Alumnos!$2:$2, 1, 4))*25), 0)+IFERROR(IF(VLOOKUP($C$4, BD_Alumnos!$A:$BA, 5, FALSE)="", 0, (VLOOKUP($C$4, BD_Alumnos!$A:$BA, 5, FALSE)/INDEX(BD_Alumnos!$2:$2, 1, 5))*10), 0)+IFERROR(IF(VLOOKUP($C$4, BD_Alumnos!$A:$BA, 6, FALSE)="", 0, (VLOOKUP($C$4, BD_Alumnos!$A:$BA, 6, FALSE)/INDEX(BD_Alumnos!$2:$2, 1, 6))*5), 0)+IFERROR(IF(VLOOKUP($C$4, BD_Alumnos!$A:$BA, 7, FALSE)="", 0, (VLOOKUP($C$4, BD_Alumnos!$A:$BA, 7, FALSE)/INDEX(BD_Alumnos!$2:$2, 1, 7))*5), 0)+IFERROR(IF(VLOOKUP($C$4, BD_Alumnos!$A:$BA, 8, FALSE)="", 0, (VLOOKUP($C$4, BD_Alumnos!$A:$BA, 8, FALSE)/INDEX(BD_Alumnos!$2:$2, 1, 8))*30), 0), 1) &amp; "%")</f>
        <v>55.4%</v>
      </c>
      <c r="C14" s="26" t="str">
        <f t="array" ref="C14">IF(ISBLANK($C$4), "", ROUND(IFERROR(IF(VLOOKUP($C$4, BD_Alumnos!$A:$BA, 9, FALSE)="", 0, (VLOOKUP($C$4, BD_Alumnos!$A:$BA, 9, FALSE)/INDEX(BD_Alumnos!$2:$2, 1, 9))*25), 0)+IFERROR(IF(VLOOKUP($C$4, BD_Alumnos!$A:$BA, 10, FALSE)="", 0, (VLOOKUP($C$4, BD_Alumnos!$A:$BA, 10, FALSE)/INDEX(BD_Alumnos!$2:$2, 1, 10))*25), 0)+IFERROR(IF(VLOOKUP($C$4, BD_Alumnos!$A:$BA, 11, FALSE)="", 0, (VLOOKUP($C$4, BD_Alumnos!$A:$BA, 11, FALSE)/INDEX(BD_Alumnos!$2:$2, 1, 11))*10), 0)+IFERROR(IF(VLOOKUP($C$4, BD_Alumnos!$A:$BA, 12, FALSE)="", 0, (VLOOKUP($C$4, BD_Alumnos!$A:$BA, 12, FALSE)/INDEX(BD_Alumnos!$2:$2, 1, 12))*5), 0)+IFERROR(IF(VLOOKUP($C$4, BD_Alumnos!$A:$BA, 13, FALSE)="", 0, (VLOOKUP($C$4, BD_Alumnos!$A:$BA, 13, FALSE)/INDEX(BD_Alumnos!$2:$2, 1, 13))*5), 0)+IFERROR(IF(VLOOKUP($C$4, BD_Alumnos!$A:$BA, 14, FALSE)="", 0, (VLOOKUP($C$4, BD_Alumnos!$A:$BA, 14, FALSE)/INDEX(BD_Alumnos!$2:$2, 1, 14))*30), 0), 1) &amp; "%")</f>
        <v>0%</v>
      </c>
      <c r="D14" s="26" t="str">
        <f t="array" ref="D14">IF(ISBLANK($C$4), "", ROUND(IFERROR(IF(VLOOKUP($C$4, BD_Alumnos!$A:$BA, 15, FALSE)="", 0, (VLOOKUP($C$4, BD_Alumnos!$A:$BA, 15, FALSE)/INDEX(BD_Alumnos!$2:$2, 1, 15))*25), 0)+IFERROR(IF(VLOOKUP($C$4, BD_Alumnos!$A:$BA, 16, FALSE)="", 0, (VLOOKUP($C$4, BD_Alumnos!$A:$BA, 16, FALSE)/INDEX(BD_Alumnos!$2:$2, 1, 16))*25), 0)+IFERROR(IF(VLOOKUP($C$4, BD_Alumnos!$A:$BA, 17, FALSE)="", 0, (VLOOKUP($C$4, BD_Alumnos!$A:$BA, 17, FALSE)/INDEX(BD_Alumnos!$2:$2, 1, 17))*10), 0)+IFERROR(IF(VLOOKUP($C$4, BD_Alumnos!$A:$BA, 18, FALSE)="", 0, (VLOOKUP($C$4, BD_Alumnos!$A:$BA, 18, FALSE)/INDEX(BD_Alumnos!$2:$2, 1, 18))*5), 0)+IFERROR(IF(VLOOKUP($C$4, BD_Alumnos!$A:$BA, 19, FALSE)="", 0, (VLOOKUP($C$4, BD_Alumnos!$A:$BA, 19, FALSE)/INDEX(BD_Alumnos!$2:$2, 1, 19))*5), 0)+IFERROR(IF(VLOOKUP($C$4, BD_Alumnos!$A:$BA, 20, FALSE)="", 0, (VLOOKUP($C$4, BD_Alumnos!$A:$BA, 20, FALSE)/INDEX(BD_Alumnos!$2:$2, 1, 20))*30), 0), 1) &amp; "%")</f>
        <v>0%</v>
      </c>
      <c r="E14" s="26" t="str">
        <f t="array" ref="E14">IF(ISBLANK($C$4), "", ROUND(IFERROR(IF(VLOOKUP($C$4, BD_Alumnos!$A:$BA, 21, FALSE)="", 0, (VLOOKUP($C$4, BD_Alumnos!$A:$BA, 21, FALSE)/INDEX(BD_Alumnos!$2:$2, 1, 21))*25), 0)+IFERROR(IF(VLOOKUP($C$4, BD_Alumnos!$A:$BA, 22, FALSE)="", 0, (VLOOKUP($C$4, BD_Alumnos!$A:$BA, 22, FALSE)/INDEX(BD_Alumnos!$2:$2, 1, 22))*25), 0)+IFERROR(IF(VLOOKUP($C$4, BD_Alumnos!$A:$BA, 23, FALSE)="", 0, (VLOOKUP($C$4, BD_Alumnos!$A:$BA, 23, FALSE)/INDEX(BD_Alumnos!$2:$2, 1, 23))*10), 0)+IFERROR(IF(VLOOKUP($C$4, BD_Alumnos!$A:$BA, 24, FALSE)="", 0, (VLOOKUP($C$4, BD_Alumnos!$A:$BA, 24, FALSE)/INDEX(BD_Alumnos!$2:$2, 1, 24))*5), 0)+IFERROR(IF(VLOOKUP($C$4, BD_Alumnos!$A:$BA, 25, FALSE)="", 0, (VLOOKUP($C$4, BD_Alumnos!$A:$BA, 25, FALSE)/INDEX(BD_Alumnos!$2:$2, 1, 25))*5), 0)+IFERROR(IF(VLOOKUP($C$4, BD_Alumnos!$A:$BA, 26, FALSE)="", 0, (VLOOKUP($C$4, BD_Alumnos!$A:$BA, 26, FALSE)/INDEX(BD_Alumnos!$2:$2, 1, 26))*30), 0), 1) &amp; "%")</f>
        <v>0%</v>
      </c>
      <c r="F14" s="12"/>
      <c r="G14" s="12"/>
      <c r="H14" s="12"/>
      <c r="I14" s="12"/>
      <c r="J14" s="12"/>
      <c r="K14" s="12"/>
      <c r="L14" s="12"/>
      <c r="M14" s="12"/>
      <c r="N14" s="12"/>
      <c r="O14" s="12"/>
      <c r="P14" s="12"/>
      <c r="Q14" s="12"/>
      <c r="R14" s="12"/>
      <c r="S14" s="12"/>
      <c r="T14" s="12"/>
      <c r="U14" s="12"/>
      <c r="V14" s="12"/>
      <c r="W14" s="12"/>
      <c r="X14" s="12"/>
      <c r="Y14" s="12"/>
      <c r="Z14" s="12"/>
    </row>
    <row r="15" ht="72.7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27" t="s">
        <v>120</v>
      </c>
      <c r="B16" s="28" t="s">
        <v>121</v>
      </c>
      <c r="C16" s="29" t="s">
        <v>122</v>
      </c>
      <c r="D16" s="30" t="s">
        <v>123</v>
      </c>
      <c r="E16" s="30"/>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31" t="s">
        <v>124</v>
      </c>
      <c r="B18" s="18"/>
      <c r="C18" s="18"/>
      <c r="D18" s="18"/>
      <c r="E18" s="19"/>
      <c r="F18" s="12"/>
      <c r="G18" s="12"/>
      <c r="H18" s="12"/>
      <c r="I18" s="12"/>
      <c r="J18" s="12"/>
      <c r="K18" s="12"/>
      <c r="L18" s="12"/>
      <c r="M18" s="12"/>
      <c r="N18" s="12"/>
      <c r="O18" s="12"/>
      <c r="P18" s="12"/>
      <c r="Q18" s="12"/>
      <c r="R18" s="12"/>
      <c r="S18" s="12"/>
      <c r="T18" s="12"/>
      <c r="U18" s="12"/>
      <c r="V18" s="12"/>
      <c r="W18" s="12"/>
      <c r="X18" s="12"/>
      <c r="Y18" s="12"/>
      <c r="Z18" s="12"/>
    </row>
    <row r="19">
      <c r="A19" s="32" t="s">
        <v>125</v>
      </c>
      <c r="B19" s="33" t="str">
        <f>IF(ISBLANK($C$4), "", IFS(VLOOKUP($C$4, BD_Alumnos!$A:$BA, 27, FALSE)="Logrado", "  ● ", VLOOKUP($C$4, BD_Alumnos!$A:$BA, 27, FALSE)="En proceso", "   ●  ", VLOOKUP($C$4, BD_Alumnos!$A:$BA, 27, FALSE)="Requiere apoyo", "    ●   ", TRUE, "-"))</f>
        <v>-</v>
      </c>
      <c r="C19" s="34" t="s">
        <v>126</v>
      </c>
      <c r="D19" s="19"/>
      <c r="E19" s="33" t="str">
        <f>IF(ISBLANK($C$4), "", IFS(VLOOKUP($C$4, BD_Alumnos!$A:$BA, 32, FALSE)="Logrado", "  ● ", VLOOKUP($C$4, BD_Alumnos!$A:$BA, 32, FALSE)="En proceso", "   ●  ", VLOOKUP($C$4, BD_Alumnos!$A:$BA, 32, FALSE)="Requiere apoyo", "    ●   ", TRUE, "-"))</f>
        <v>-</v>
      </c>
      <c r="F19" s="12"/>
      <c r="G19" s="12"/>
      <c r="H19" s="12"/>
      <c r="I19" s="12"/>
      <c r="J19" s="12"/>
      <c r="K19" s="12"/>
      <c r="L19" s="12"/>
      <c r="M19" s="12"/>
      <c r="N19" s="12"/>
      <c r="O19" s="12"/>
      <c r="P19" s="12"/>
      <c r="Q19" s="12"/>
      <c r="R19" s="12"/>
      <c r="S19" s="12"/>
      <c r="T19" s="12"/>
      <c r="U19" s="12"/>
      <c r="V19" s="12"/>
      <c r="W19" s="12"/>
      <c r="X19" s="12"/>
      <c r="Y19" s="12"/>
      <c r="Z19" s="12"/>
    </row>
    <row r="20">
      <c r="A20" s="32" t="s">
        <v>127</v>
      </c>
      <c r="B20" s="33" t="str">
        <f>IF(ISBLANK($C$4), "", IFS(VLOOKUP($C$4, BD_Alumnos!$A:$BA, 28, FALSE)="Logrado", "  ● ", VLOOKUP($C$4, BD_Alumnos!$A:$BA, 28, FALSE)="En proceso", "   ●  ", VLOOKUP($C$4, BD_Alumnos!$A:$BA, 28, FALSE)="Requiere apoyo", "    ●   ", TRUE, "-"))</f>
        <v>-</v>
      </c>
      <c r="C20" s="34" t="s">
        <v>128</v>
      </c>
      <c r="D20" s="19"/>
      <c r="E20" s="33" t="str">
        <f>IF(ISBLANK($C$4), "", IFS(VLOOKUP($C$4, BD_Alumnos!$A:$BA, 33, FALSE)="Logrado", "  ● ", VLOOKUP($C$4, BD_Alumnos!$A:$BA, 33, FALSE)="En proceso", "   ●  ", VLOOKUP($C$4, BD_Alumnos!$A:$BA, 33, FALSE)="Requiere apoyo", "    ●   ", TRUE, "-"))</f>
        <v>-</v>
      </c>
      <c r="F20" s="12"/>
      <c r="G20" s="12"/>
      <c r="H20" s="12"/>
      <c r="I20" s="12"/>
      <c r="J20" s="12"/>
      <c r="K20" s="12"/>
      <c r="L20" s="12"/>
      <c r="M20" s="12"/>
      <c r="N20" s="12"/>
      <c r="O20" s="12"/>
      <c r="P20" s="12"/>
      <c r="Q20" s="12"/>
      <c r="R20" s="12"/>
      <c r="S20" s="12"/>
      <c r="T20" s="12"/>
      <c r="U20" s="12"/>
      <c r="V20" s="12"/>
      <c r="W20" s="12"/>
      <c r="X20" s="12"/>
      <c r="Y20" s="12"/>
      <c r="Z20" s="12"/>
    </row>
    <row r="21">
      <c r="A21" s="32" t="s">
        <v>129</v>
      </c>
      <c r="B21" s="33" t="str">
        <f>IF(ISBLANK($C$4), "", IFS(VLOOKUP($C$4, BD_Alumnos!$A:$BA, 29, FALSE)="Logrado", "  ● ", VLOOKUP($C$4, BD_Alumnos!$A:$BA, 29, FALSE)="En proceso", "   ●  ", VLOOKUP($C$4, BD_Alumnos!$A:$BA, 29, FALSE)="Requiere apoyo", "    ●   ", TRUE, "-"))</f>
        <v>-</v>
      </c>
      <c r="C21" s="34" t="s">
        <v>130</v>
      </c>
      <c r="D21" s="19"/>
      <c r="E21" s="33" t="str">
        <f>IF(ISBLANK($C$4), "", IFS(VLOOKUP($C$4, BD_Alumnos!$A:$BA, 34, FALSE)="Logrado", "  ● ", VLOOKUP($C$4, BD_Alumnos!$A:$BA, 34, FALSE)="En proceso", "   ●  ", VLOOKUP($C$4, BD_Alumnos!$A:$BA, 34, FALSE)="Requiere apoyo", "    ●   ", TRUE, "-"))</f>
        <v>-</v>
      </c>
      <c r="F21" s="12"/>
      <c r="G21" s="12"/>
      <c r="H21" s="12"/>
      <c r="I21" s="12"/>
      <c r="J21" s="12"/>
      <c r="K21" s="12"/>
      <c r="L21" s="12"/>
      <c r="M21" s="12"/>
      <c r="N21" s="12"/>
      <c r="O21" s="12"/>
      <c r="P21" s="12"/>
      <c r="Q21" s="12"/>
      <c r="R21" s="12"/>
      <c r="S21" s="12"/>
      <c r="T21" s="12"/>
      <c r="U21" s="12"/>
      <c r="V21" s="12"/>
      <c r="W21" s="12"/>
      <c r="X21" s="12"/>
      <c r="Y21" s="12"/>
      <c r="Z21" s="12"/>
    </row>
    <row r="22">
      <c r="A22" s="32" t="s">
        <v>131</v>
      </c>
      <c r="B22" s="33" t="str">
        <f>IF(ISBLANK($C$4), "", IFS(VLOOKUP($C$4, BD_Alumnos!$A:$BA, 30, FALSE)="Logrado", "  ● ", VLOOKUP($C$4, BD_Alumnos!$A:$BA, 30, FALSE)="En proceso", "   ●  ", VLOOKUP($C$4, BD_Alumnos!$A:$BA, 30, FALSE)="Requiere apoyo", "    ●   ", TRUE, "-"))</f>
        <v>-</v>
      </c>
      <c r="C22" s="34" t="s">
        <v>132</v>
      </c>
      <c r="D22" s="19"/>
      <c r="E22" s="33" t="str">
        <f>IF(ISBLANK($C$4), "", IFS(VLOOKUP($C$4, BD_Alumnos!$A:$BA, 35, FALSE)="Logrado", "  ● ", VLOOKUP($C$4, BD_Alumnos!$A:$BA, 35, FALSE)="En proceso", "   ●  ", VLOOKUP($C$4, BD_Alumnos!$A:$BA, 35, FALSE)="Requiere apoyo", "    ●   ", TRUE, "-"))</f>
        <v>-</v>
      </c>
      <c r="F22" s="12"/>
      <c r="G22" s="12"/>
      <c r="H22" s="12"/>
      <c r="I22" s="12"/>
      <c r="J22" s="12"/>
      <c r="K22" s="12"/>
      <c r="L22" s="12"/>
      <c r="M22" s="12"/>
      <c r="N22" s="12"/>
      <c r="O22" s="12"/>
      <c r="P22" s="12"/>
      <c r="Q22" s="12"/>
      <c r="R22" s="12"/>
      <c r="S22" s="12"/>
      <c r="T22" s="12"/>
      <c r="U22" s="12"/>
      <c r="V22" s="12"/>
      <c r="W22" s="12"/>
      <c r="X22" s="12"/>
      <c r="Y22" s="12"/>
      <c r="Z22" s="12"/>
    </row>
    <row r="23">
      <c r="A23" s="32" t="s">
        <v>133</v>
      </c>
      <c r="B23" s="33" t="str">
        <f>IF(ISBLANK($C$4), "", IFS(VLOOKUP($C$4, BD_Alumnos!$A:$BA, 31, FALSE)="Logrado", "  ● ", VLOOKUP($C$4, BD_Alumnos!$A:$BA, 31, FALSE)="En proceso", "   ●  ", VLOOKUP($C$4, BD_Alumnos!$A:$BA, 31, FALSE)="Requiere apoyo", "    ●   ", TRUE, "-"))</f>
        <v>-</v>
      </c>
      <c r="C23" s="34" t="s">
        <v>134</v>
      </c>
      <c r="D23" s="19"/>
      <c r="E23" s="33" t="str">
        <f>IF(ISBLANK($C$4), "", IFS(VLOOKUP($C$4, BD_Alumnos!$A:$BA, 36, FALSE)="Logrado", "  ● ", VLOOKUP($C$4, BD_Alumnos!$A:$BA, 36, FALSE)="En proceso", "   ●  ", VLOOKUP($C$4, BD_Alumnos!$A:$BA, 36, FALSE)="Requiere apoyo", "    ●   ", TRUE, "-"))</f>
        <v>-</v>
      </c>
      <c r="F23" s="12"/>
      <c r="G23" s="12"/>
      <c r="H23" s="12"/>
      <c r="I23" s="12"/>
      <c r="J23" s="12"/>
      <c r="K23" s="12"/>
      <c r="L23" s="12"/>
      <c r="M23" s="12"/>
      <c r="N23" s="12"/>
      <c r="O23" s="12"/>
      <c r="P23" s="12"/>
      <c r="Q23" s="12"/>
      <c r="R23" s="12"/>
      <c r="S23" s="12"/>
      <c r="T23" s="12"/>
      <c r="U23" s="12"/>
      <c r="V23" s="12"/>
      <c r="W23" s="12"/>
      <c r="X23" s="12"/>
      <c r="Y23" s="12"/>
      <c r="Z23" s="12"/>
    </row>
    <row r="24" ht="171.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35" t="s">
        <v>135</v>
      </c>
      <c r="B25" s="18"/>
      <c r="C25" s="18"/>
      <c r="D25" s="18"/>
      <c r="E25" s="19"/>
      <c r="F25" s="12"/>
      <c r="G25" s="12"/>
      <c r="H25" s="12"/>
      <c r="I25" s="12"/>
      <c r="J25" s="12"/>
      <c r="K25" s="12"/>
      <c r="L25" s="12"/>
      <c r="M25" s="12"/>
      <c r="N25" s="12"/>
      <c r="O25" s="12"/>
      <c r="P25" s="12"/>
      <c r="Q25" s="12"/>
      <c r="R25" s="12"/>
      <c r="S25" s="12"/>
      <c r="T25" s="12"/>
      <c r="U25" s="12"/>
      <c r="V25" s="12"/>
      <c r="W25" s="12"/>
      <c r="X25" s="12"/>
      <c r="Y25" s="12"/>
      <c r="Z25" s="12"/>
    </row>
    <row r="26">
      <c r="A26" s="36" t="s">
        <v>136</v>
      </c>
      <c r="B26" s="19"/>
      <c r="C26" s="37" t="s">
        <v>137</v>
      </c>
      <c r="D26" s="18"/>
      <c r="E26" s="19"/>
      <c r="F26" s="12"/>
      <c r="G26" s="12"/>
      <c r="H26" s="12"/>
      <c r="I26" s="12"/>
      <c r="J26" s="12"/>
      <c r="K26" s="12"/>
      <c r="L26" s="12"/>
      <c r="M26" s="12"/>
      <c r="N26" s="12"/>
      <c r="O26" s="12"/>
      <c r="P26" s="12"/>
      <c r="Q26" s="12"/>
      <c r="R26" s="12"/>
      <c r="S26" s="12"/>
      <c r="T26" s="12"/>
      <c r="U26" s="12"/>
      <c r="V26" s="12"/>
      <c r="W26" s="12"/>
      <c r="X26" s="12"/>
      <c r="Y26" s="12"/>
      <c r="Z26" s="12"/>
    </row>
    <row r="27">
      <c r="A27" s="32" t="s">
        <v>138</v>
      </c>
      <c r="B27" s="38" t="str">
        <f>IF(ISBLANK($C$4), "", IFERROR(VLOOKUP($C$4, BD_Alumnos!$A:$BA, 37, FALSE), ""))</f>
        <v/>
      </c>
      <c r="C27" s="34" t="s">
        <v>139</v>
      </c>
      <c r="D27" s="19"/>
      <c r="E27" s="33" t="str">
        <f>IF(ISBLANK($C$4), "", IFS(VLOOKUP($C$4, BD_Alumnos!$A:$BA, 39, FALSE)="Logrado", "  ● ", VLOOKUP($C$4, BD_Alumnos!$A:$BA, 39, FALSE)="En proceso", "   ●  ", VLOOKUP($C$4, BD_Alumnos!$A:$BA, 39, FALSE)="Requiere apoyo", "    ●   ", TRUE, "-"))</f>
        <v>-</v>
      </c>
      <c r="F27" s="12"/>
      <c r="G27" s="12"/>
      <c r="H27" s="12"/>
      <c r="I27" s="12"/>
      <c r="J27" s="12"/>
      <c r="K27" s="12"/>
      <c r="L27" s="12"/>
      <c r="M27" s="12"/>
      <c r="N27" s="12"/>
      <c r="O27" s="12"/>
      <c r="P27" s="12"/>
      <c r="Q27" s="12"/>
      <c r="R27" s="12"/>
      <c r="S27" s="12"/>
      <c r="T27" s="12"/>
      <c r="U27" s="12"/>
      <c r="V27" s="12"/>
      <c r="W27" s="12"/>
      <c r="X27" s="12"/>
      <c r="Y27" s="12"/>
      <c r="Z27" s="12"/>
    </row>
    <row r="28">
      <c r="A28" s="32" t="s">
        <v>140</v>
      </c>
      <c r="B28" s="39" t="str">
        <f>IF(ISBLANK($C$4), "", IF(VLOOKUP($C$4, BD_Alumnos!$A:$BA, 37, FALSE)="", "-", IFS(VLOOKUP($C$4, BD_Alumnos!$A:$BA, 2, FALSE)="4°", IFS(VLOOKUP($C$4, BD_Alumnos!$A:$BA, 37, FALSE)&gt;114, "AVANZADO", VLOOKUP($C$4, BD_Alumnos!$A:$BA, 37, FALSE)&gt;=100, "ESTÁNDAR", VLOOKUP($C$4, BD_Alumnos!$A:$BA, 37, FALSE)&gt;=86, "CERCANO AL ESTÁNDAR", TRUE, "REQUIERE APOYO EN CASA"), VLOOKUP($C$4, BD_Alumnos!$A:$BA, 2, FALSE)="5°", IFS(VLOOKUP($C$4, BD_Alumnos!$A:$BA, 37, FALSE)&gt;124, "AVANZADO", VLOOKUP($C$4, BD_Alumnos!$A:$BA, 37, FALSE)&gt;=115, "ESTÁNDAR", VLOOKUP($C$4, BD_Alumnos!$A:$BA, 37, FALSE)&gt;=100, "CERCANO AL ESTÁNDAR", TRUE, "REQUIERE APOYO EN CASA"), VLOOKUP($C$4, BD_Alumnos!$A:$BA, 2, FALSE)="6°", IFS(VLOOKUP($C$4, BD_Alumnos!$A:$BA, 37, FALSE)&gt;134, "AVANZADO", VLOOKUP($C$4, BD_Alumnos!$A:$BA, 37, FALSE)&gt;=125, "ESTÁNDAR", VLOOKUP($C$4, BD_Alumnos!$A:$BA, 37, FALSE)&gt;=115, "CERCANO AL ESTÁNDAR", TRUE, "REQUIERE APOYO EN CASA"), TRUE, "Falta especificar Grado en BD")))</f>
        <v>-</v>
      </c>
      <c r="C28" s="34" t="s">
        <v>141</v>
      </c>
      <c r="D28" s="19"/>
      <c r="E28" s="33" t="str">
        <f>IF(ISBLANK($C$4), "", IFS(VLOOKUP($C$4, BD_Alumnos!$A:$BA, 40, FALSE)="Logrado", "  ● ", VLOOKUP($C$4, BD_Alumnos!$A:$BA, 40, FALSE)="En proceso", "   ●  ", VLOOKUP($C$4, BD_Alumnos!$A:$BA, 40, FALSE)="Requiere apoyo", "    ●   ", TRUE, "-"))</f>
        <v>-</v>
      </c>
      <c r="F28" s="12"/>
      <c r="G28" s="12"/>
      <c r="H28" s="12"/>
      <c r="I28" s="12"/>
      <c r="J28" s="12"/>
      <c r="K28" s="12"/>
      <c r="L28" s="12"/>
      <c r="M28" s="12"/>
      <c r="N28" s="12"/>
      <c r="O28" s="12"/>
      <c r="P28" s="12"/>
      <c r="Q28" s="12"/>
      <c r="R28" s="12"/>
      <c r="S28" s="12"/>
      <c r="T28" s="12"/>
      <c r="U28" s="12"/>
      <c r="V28" s="12"/>
      <c r="W28" s="12"/>
      <c r="X28" s="12"/>
      <c r="Y28" s="12"/>
      <c r="Z28" s="12"/>
    </row>
    <row r="29">
      <c r="A29" s="32" t="s">
        <v>142</v>
      </c>
      <c r="B29" s="40" t="str">
        <f>IF(ISBLANK($C$4), "", IFERROR(VLOOKUP($C$4, BD_Alumnos!$A:$BA, 38, FALSE), ""))</f>
        <v/>
      </c>
      <c r="C29" s="34" t="s">
        <v>143</v>
      </c>
      <c r="D29" s="19"/>
      <c r="E29" s="33" t="str">
        <f>IF(ISBLANK($C$4), "", IFS(VLOOKUP($C$4, BD_Alumnos!$A:$BA, 41, FALSE)="Logrado", "  ● ", VLOOKUP($C$4, BD_Alumnos!$A:$BA, 41, FALSE)="En proceso", "   ●  ", VLOOKUP($C$4, BD_Alumnos!$A:$BA, 41, FALSE)="Requiere apoyo", "    ●   ", TRUE, "-"))</f>
        <v>-</v>
      </c>
      <c r="F29" s="12"/>
      <c r="G29" s="12"/>
      <c r="H29" s="12"/>
      <c r="I29" s="12"/>
      <c r="J29" s="12"/>
      <c r="K29" s="12"/>
      <c r="L29" s="12"/>
      <c r="M29" s="12"/>
      <c r="N29" s="12"/>
      <c r="O29" s="12"/>
      <c r="P29" s="12"/>
      <c r="Q29" s="12"/>
      <c r="R29" s="12"/>
      <c r="S29" s="12"/>
      <c r="T29" s="12"/>
      <c r="U29" s="12"/>
      <c r="V29" s="12"/>
      <c r="W29" s="12"/>
      <c r="X29" s="12"/>
      <c r="Y29" s="12"/>
      <c r="Z29" s="12"/>
    </row>
    <row r="30">
      <c r="A30" s="41"/>
      <c r="B30" s="41"/>
      <c r="C30" s="34" t="s">
        <v>144</v>
      </c>
      <c r="D30" s="19"/>
      <c r="E30" s="33" t="str">
        <f>IF(ISBLANK($C$4), "", IFS(VLOOKUP($C$4, BD_Alumnos!$A:$BA, 42, FALSE)="Logrado", "  ● ", VLOOKUP($C$4, BD_Alumnos!$A:$BA, 42, FALSE)="En proceso", "   ●  ", VLOOKUP($C$4, BD_Alumnos!$A:$BA, 42, FALSE)="Requiere apoyo", "    ●   ", TRUE, "-"))</f>
        <v>-</v>
      </c>
      <c r="F30" s="12"/>
      <c r="G30" s="12"/>
      <c r="H30" s="12"/>
      <c r="I30" s="12"/>
      <c r="J30" s="12"/>
      <c r="K30" s="12"/>
      <c r="L30" s="12"/>
      <c r="M30" s="12"/>
      <c r="N30" s="12"/>
      <c r="O30" s="12"/>
      <c r="P30" s="12"/>
      <c r="Q30" s="12"/>
      <c r="R30" s="12"/>
      <c r="S30" s="12"/>
      <c r="T30" s="12"/>
      <c r="U30" s="12"/>
      <c r="V30" s="12"/>
      <c r="W30" s="12"/>
      <c r="X30" s="12"/>
      <c r="Y30" s="12"/>
      <c r="Z30" s="12"/>
    </row>
    <row r="31">
      <c r="A31" s="41"/>
      <c r="B31" s="41"/>
      <c r="C31" s="34" t="s">
        <v>145</v>
      </c>
      <c r="D31" s="19"/>
      <c r="E31" s="33" t="str">
        <f>IF(ISBLANK($C$4), "", IFS(VLOOKUP($C$4, BD_Alumnos!$A:$BA, 43, FALSE)="Logrado", "  ● ", VLOOKUP($C$4, BD_Alumnos!$A:$BA, 43, FALSE)="En proceso", "   ●  ", VLOOKUP($C$4, BD_Alumnos!$A:$BA, 43, FALSE)="Requiere apoyo", "    ●   ", TRUE, "-"))</f>
        <v>-</v>
      </c>
      <c r="F31" s="12"/>
      <c r="G31" s="12"/>
      <c r="H31" s="12"/>
      <c r="I31" s="12"/>
      <c r="J31" s="12"/>
      <c r="K31" s="12"/>
      <c r="L31" s="12"/>
      <c r="M31" s="12"/>
      <c r="N31" s="12"/>
      <c r="O31" s="12"/>
      <c r="P31" s="12"/>
      <c r="Q31" s="12"/>
      <c r="R31" s="12"/>
      <c r="S31" s="12"/>
      <c r="T31" s="12"/>
      <c r="U31" s="12"/>
      <c r="V31" s="12"/>
      <c r="W31" s="12"/>
      <c r="X31" s="12"/>
      <c r="Y31" s="12"/>
      <c r="Z31" s="12"/>
    </row>
    <row r="32">
      <c r="A32" s="41"/>
      <c r="B32" s="41"/>
      <c r="C32" s="34" t="s">
        <v>146</v>
      </c>
      <c r="D32" s="19"/>
      <c r="E32" s="33" t="str">
        <f>IF(ISBLANK($C$4), "", IFS(VLOOKUP($C$4, BD_Alumnos!$A:$BA, 44, FALSE)="Logrado", "  ● ", VLOOKUP($C$4, BD_Alumnos!$A:$BA, 44, FALSE)="En proceso", "   ●  ", VLOOKUP($C$4, BD_Alumnos!$A:$BA, 44, FALSE)="Requiere apoyo", "    ●   ", TRUE, "-"))</f>
        <v>-</v>
      </c>
      <c r="F32" s="12"/>
      <c r="G32" s="12"/>
      <c r="H32" s="12"/>
      <c r="I32" s="12"/>
      <c r="J32" s="12"/>
      <c r="K32" s="12"/>
      <c r="L32" s="12"/>
      <c r="M32" s="12"/>
      <c r="N32" s="12"/>
      <c r="O32" s="12"/>
      <c r="P32" s="12"/>
      <c r="Q32" s="12"/>
      <c r="R32" s="12"/>
      <c r="S32" s="12"/>
      <c r="T32" s="12"/>
      <c r="U32" s="12"/>
      <c r="V32" s="12"/>
      <c r="W32" s="12"/>
      <c r="X32" s="12"/>
      <c r="Y32" s="12"/>
      <c r="Z32" s="12"/>
    </row>
    <row r="33">
      <c r="A33" s="41"/>
      <c r="B33" s="41"/>
      <c r="C33" s="34" t="s">
        <v>147</v>
      </c>
      <c r="D33" s="19"/>
      <c r="E33" s="33" t="str">
        <f>IF(ISBLANK($C$4), "", IFS(VLOOKUP($C$4, BD_Alumnos!$A:$BA, 45, FALSE)="Logrado", "  ● ", VLOOKUP($C$4, BD_Alumnos!$A:$BA, 45, FALSE)="En proceso", "   ●  ", VLOOKUP($C$4, BD_Alumnos!$A:$BA, 45, FALSE)="Requiere apoyo", "    ●   ", TRUE, "-"))</f>
        <v>-</v>
      </c>
      <c r="F33" s="12"/>
      <c r="G33" s="12"/>
      <c r="H33" s="12"/>
      <c r="I33" s="12"/>
      <c r="J33" s="12"/>
      <c r="K33" s="12"/>
      <c r="L33" s="12"/>
      <c r="M33" s="12"/>
      <c r="N33" s="12"/>
      <c r="O33" s="12"/>
      <c r="P33" s="12"/>
      <c r="Q33" s="12"/>
      <c r="R33" s="12"/>
      <c r="S33" s="12"/>
      <c r="T33" s="12"/>
      <c r="U33" s="12"/>
      <c r="V33" s="12"/>
      <c r="W33" s="12"/>
      <c r="X33" s="12"/>
      <c r="Y33" s="12"/>
      <c r="Z33" s="12"/>
    </row>
    <row r="34">
      <c r="A34" s="12"/>
      <c r="B34" s="12"/>
      <c r="C34" s="42" t="s">
        <v>148</v>
      </c>
      <c r="E34" s="43" t="str">
        <f>IF(ISBLANK($C$4), "", IFS(VLOOKUP($C$4, BD_Alumnos!$A:$BA, 46, FALSE)="Logrado", "  ● ", VLOOKUP($C$4, BD_Alumnos!$A:$BA, 46, FALSE)="En proceso", "   ●  ", VLOOKUP($C$4, BD_Alumnos!$A:$BA, 46, FALSE)="Requiere apoyo", "    ●   ", TRUE, "-"))</f>
        <v>-</v>
      </c>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44" t="s">
        <v>149</v>
      </c>
      <c r="F36" s="12"/>
      <c r="G36" s="12"/>
      <c r="H36" s="12"/>
      <c r="I36" s="12"/>
      <c r="J36" s="12"/>
      <c r="K36" s="12"/>
      <c r="L36" s="12"/>
      <c r="M36" s="12"/>
      <c r="N36" s="12"/>
      <c r="O36" s="12"/>
      <c r="P36" s="12"/>
      <c r="Q36" s="12"/>
      <c r="R36" s="12"/>
      <c r="S36" s="12"/>
      <c r="T36" s="12"/>
      <c r="U36" s="12"/>
      <c r="V36" s="12"/>
      <c r="W36" s="12"/>
      <c r="X36" s="12"/>
      <c r="Y36" s="12"/>
      <c r="Z36" s="12"/>
    </row>
    <row r="37" ht="36.0" customHeight="1">
      <c r="A37" s="45" t="s">
        <v>150</v>
      </c>
      <c r="B37" s="46" t="str">
        <f>IF(ISBLANK($C$4), "", IFERROR(VLOOKUP($C$4, BD_Alumnos!$A:$BA, 47, FALSE), ""))</f>
        <v/>
      </c>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47" t="s">
        <v>151</v>
      </c>
      <c r="C39" s="48" t="s">
        <v>152</v>
      </c>
      <c r="F39" s="12"/>
      <c r="G39" s="12"/>
      <c r="H39" s="12"/>
      <c r="I39" s="12"/>
      <c r="J39" s="12"/>
      <c r="K39" s="12"/>
      <c r="L39" s="12"/>
      <c r="M39" s="12"/>
      <c r="N39" s="12"/>
      <c r="O39" s="12"/>
      <c r="P39" s="12"/>
      <c r="Q39" s="12"/>
      <c r="R39" s="12"/>
      <c r="S39" s="12"/>
      <c r="T39" s="12"/>
      <c r="U39" s="12"/>
      <c r="V39" s="12"/>
      <c r="W39" s="12"/>
      <c r="X39" s="12"/>
      <c r="Y39" s="12"/>
      <c r="Z39" s="12"/>
    </row>
    <row r="40">
      <c r="A40" s="49" t="str">
        <f>IF(ISBLANK($C$4), "", IFERROR(VLOOKUP($C$4, BD_Alumnos!$A:$BA, 48, FALSE), ""))</f>
        <v/>
      </c>
      <c r="B40" s="50"/>
      <c r="C40" s="51" t="str">
        <f>IF(ISBLANK($C$4), "", IFERROR(VLOOKUP($C$4, BD_Alumnos!$A:$BA, 49, FALSE), ""))</f>
        <v/>
      </c>
      <c r="D40" s="52"/>
      <c r="E40" s="53"/>
      <c r="F40" s="12"/>
      <c r="G40" s="12"/>
      <c r="H40" s="12"/>
      <c r="I40" s="12"/>
      <c r="J40" s="12"/>
      <c r="K40" s="12"/>
      <c r="L40" s="12"/>
      <c r="M40" s="12"/>
      <c r="N40" s="12"/>
      <c r="O40" s="12"/>
      <c r="P40" s="12"/>
      <c r="Q40" s="12"/>
      <c r="R40" s="12"/>
      <c r="S40" s="12"/>
      <c r="T40" s="12"/>
      <c r="U40" s="12"/>
      <c r="V40" s="12"/>
      <c r="W40" s="12"/>
      <c r="X40" s="12"/>
      <c r="Y40" s="12"/>
      <c r="Z40" s="12"/>
    </row>
    <row r="41">
      <c r="A41" s="54"/>
      <c r="B41" s="55"/>
      <c r="C41" s="56"/>
      <c r="E41" s="57"/>
      <c r="F41" s="12"/>
      <c r="G41" s="12"/>
      <c r="H41" s="12"/>
      <c r="I41" s="12"/>
      <c r="J41" s="12"/>
      <c r="K41" s="12"/>
      <c r="L41" s="12"/>
      <c r="M41" s="12"/>
      <c r="N41" s="12"/>
      <c r="O41" s="12"/>
      <c r="P41" s="12"/>
      <c r="Q41" s="12"/>
      <c r="R41" s="12"/>
      <c r="S41" s="12"/>
      <c r="T41" s="12"/>
      <c r="U41" s="12"/>
      <c r="V41" s="12"/>
      <c r="W41" s="12"/>
      <c r="X41" s="12"/>
      <c r="Y41" s="12"/>
      <c r="Z41" s="12"/>
    </row>
    <row r="42">
      <c r="A42" s="54"/>
      <c r="B42" s="55"/>
      <c r="C42" s="56"/>
      <c r="E42" s="57"/>
      <c r="F42" s="12"/>
      <c r="G42" s="12"/>
      <c r="H42" s="12"/>
      <c r="I42" s="12"/>
      <c r="J42" s="12"/>
      <c r="K42" s="12"/>
      <c r="L42" s="12"/>
      <c r="M42" s="12"/>
      <c r="N42" s="12"/>
      <c r="O42" s="12"/>
      <c r="P42" s="12"/>
      <c r="Q42" s="12"/>
      <c r="R42" s="12"/>
      <c r="S42" s="12"/>
      <c r="T42" s="12"/>
      <c r="U42" s="12"/>
      <c r="V42" s="12"/>
      <c r="W42" s="12"/>
      <c r="X42" s="12"/>
      <c r="Y42" s="12"/>
      <c r="Z42" s="12"/>
    </row>
    <row r="43">
      <c r="A43" s="54"/>
      <c r="B43" s="55"/>
      <c r="C43" s="56"/>
      <c r="E43" s="57"/>
      <c r="F43" s="12"/>
      <c r="G43" s="12"/>
      <c r="H43" s="12"/>
      <c r="I43" s="12"/>
      <c r="J43" s="12"/>
      <c r="K43" s="12"/>
      <c r="L43" s="12"/>
      <c r="M43" s="12"/>
      <c r="N43" s="12"/>
      <c r="O43" s="12"/>
      <c r="P43" s="12"/>
      <c r="Q43" s="12"/>
      <c r="R43" s="12"/>
      <c r="S43" s="12"/>
      <c r="T43" s="12"/>
      <c r="U43" s="12"/>
      <c r="V43" s="12"/>
      <c r="W43" s="12"/>
      <c r="X43" s="12"/>
      <c r="Y43" s="12"/>
      <c r="Z43" s="12"/>
    </row>
    <row r="44" ht="64.5" customHeight="1">
      <c r="A44" s="58"/>
      <c r="B44" s="59"/>
      <c r="C44" s="60"/>
      <c r="D44" s="61"/>
      <c r="E44" s="6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63" t="s">
        <v>153</v>
      </c>
      <c r="C47" s="63" t="s">
        <v>153</v>
      </c>
      <c r="F47" s="12"/>
      <c r="G47" s="12"/>
      <c r="H47" s="12"/>
      <c r="I47" s="12"/>
      <c r="J47" s="12"/>
      <c r="K47" s="12"/>
      <c r="L47" s="12"/>
      <c r="M47" s="12"/>
      <c r="N47" s="12"/>
      <c r="O47" s="12"/>
      <c r="P47" s="12"/>
      <c r="Q47" s="12"/>
      <c r="R47" s="12"/>
      <c r="S47" s="12"/>
      <c r="T47" s="12"/>
      <c r="U47" s="12"/>
      <c r="V47" s="12"/>
      <c r="W47" s="12"/>
      <c r="X47" s="12"/>
      <c r="Y47" s="12"/>
      <c r="Z47" s="12"/>
    </row>
    <row r="48">
      <c r="A48" s="64" t="s">
        <v>154</v>
      </c>
      <c r="C48" s="64" t="s">
        <v>155</v>
      </c>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sheetData>
  <mergeCells count="31">
    <mergeCell ref="A1:E2"/>
    <mergeCell ref="A4:B4"/>
    <mergeCell ref="C4:E4"/>
    <mergeCell ref="A6:E6"/>
    <mergeCell ref="A18:E18"/>
    <mergeCell ref="C19:D19"/>
    <mergeCell ref="C20:D20"/>
    <mergeCell ref="C21:D21"/>
    <mergeCell ref="C22:D22"/>
    <mergeCell ref="C23:D23"/>
    <mergeCell ref="A25:E25"/>
    <mergeCell ref="A26:B26"/>
    <mergeCell ref="C26:E26"/>
    <mergeCell ref="C27:D27"/>
    <mergeCell ref="C28:D28"/>
    <mergeCell ref="C29:D29"/>
    <mergeCell ref="C30:D30"/>
    <mergeCell ref="C31:D31"/>
    <mergeCell ref="C32:D32"/>
    <mergeCell ref="C33:D33"/>
    <mergeCell ref="C34:D34"/>
    <mergeCell ref="A47:B47"/>
    <mergeCell ref="A48:B48"/>
    <mergeCell ref="A36:E36"/>
    <mergeCell ref="B37:E37"/>
    <mergeCell ref="A39:B39"/>
    <mergeCell ref="C39:E39"/>
    <mergeCell ref="A40:B44"/>
    <mergeCell ref="C40:E44"/>
    <mergeCell ref="C47:E47"/>
    <mergeCell ref="C48:E48"/>
  </mergeCells>
  <conditionalFormatting sqref="B19:B23 E19:E23 E27:E34">
    <cfRule type="cellIs" dxfId="0" priority="1" operator="equal">
      <formula>"  ● "</formula>
    </cfRule>
  </conditionalFormatting>
  <conditionalFormatting sqref="B19:B23 E19:E23 E27:E34">
    <cfRule type="cellIs" dxfId="1" priority="2" operator="equal">
      <formula>"   ●  "</formula>
    </cfRule>
  </conditionalFormatting>
  <conditionalFormatting sqref="B19:B23 E19:E23 E27:E34">
    <cfRule type="cellIs" dxfId="2" priority="3" operator="equal">
      <formula>"    ●   "</formula>
    </cfRule>
  </conditionalFormatting>
  <conditionalFormatting sqref="F19">
    <cfRule type="notContainsBlanks" dxfId="3" priority="4">
      <formula>LEN(TRIM(F19))&gt;0</formula>
    </cfRule>
  </conditionalFormatting>
  <dataValidations>
    <dataValidation type="list" allowBlank="1" sqref="C4">
      <formula1>BD_Alumnos!$A$3:$A$100</formula1>
    </dataValidation>
  </dataValidations>
  <printOptions gridLines="1" horizontalCentered="1"/>
  <pageMargins bottom="0.75" footer="0.0" header="0.0" left="0.7" right="0.7" top="0.75"/>
  <pageSetup fitToHeight="0" paperSize="9" cellComments="atEnd" orientation="landscape" pageOrder="overThenDown"/>
  <drawing r:id="rId1"/>
</worksheet>
</file>